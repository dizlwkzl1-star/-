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싱계산기" sheetId="1" state="visible" r:id="rId1"/>
    <sheet name="수요스캔" sheetId="2" state="visible" r:id="rId2"/>
    <sheet name="리뷰증가트래커" sheetId="3" state="visible" r:id="rId3"/>
    <sheet name="기준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-"/>
    <numFmt numFmtId="165" formatCode="0.0%"/>
    <numFmt numFmtId="166" formatCode="0.00&quot;배&quot;"/>
    <numFmt numFmtId="167" formatCode="yyyy-mm-dd"/>
    <numFmt numFmtId="168" formatCode="#,##0;-#,##0;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164" fontId="6" fillId="4" borderId="1" pivotButton="0" quotePrefix="0" xfId="0"/>
    <xf numFmtId="165" fontId="5" fillId="0" borderId="1" pivotButton="0" quotePrefix="0" xfId="0"/>
    <xf numFmtId="164" fontId="5" fillId="0" borderId="1" pivotButton="0" quotePrefix="0" xfId="0"/>
    <xf numFmtId="0" fontId="3" fillId="0" borderId="1" applyAlignment="1" pivotButton="0" quotePrefix="0" xfId="0">
      <alignment horizontal="center"/>
    </xf>
    <xf numFmtId="10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3" fillId="0" borderId="0" pivotButton="0" quotePrefix="0" xfId="0"/>
    <xf numFmtId="3" fontId="6" fillId="4" borderId="1" pivotButton="0" quotePrefix="0" xfId="0"/>
    <xf numFmtId="166" fontId="6" fillId="4" borderId="1" pivotButton="0" quotePrefix="0" xfId="0"/>
    <xf numFmtId="165" fontId="6" fillId="4" borderId="1" pivotButton="0" quotePrefix="0" xfId="0"/>
    <xf numFmtId="0" fontId="5" fillId="0" borderId="1" applyAlignment="1" pivotButton="0" quotePrefix="0" xfId="0">
      <alignment horizontal="center"/>
    </xf>
    <xf numFmtId="3" fontId="6" fillId="0" borderId="1" pivotButton="0" quotePrefix="0" xfId="0"/>
    <xf numFmtId="166" fontId="6" fillId="0" borderId="1" pivotButton="0" quotePrefix="0" xfId="0"/>
    <xf numFmtId="165" fontId="6" fillId="0" borderId="1" pivotButton="0" quotePrefix="0" xfId="0"/>
    <xf numFmtId="0" fontId="6" fillId="4" borderId="1" applyAlignment="1" pivotButton="0" quotePrefix="0" xfId="0">
      <alignment horizontal="center"/>
    </xf>
    <xf numFmtId="167" fontId="6" fillId="0" borderId="1" pivotButton="0" quotePrefix="0" xfId="0"/>
    <xf numFmtId="168" fontId="5" fillId="0" borderId="1" pivotButton="0" quotePrefix="0" xfId="0"/>
    <xf numFmtId="0" fontId="6" fillId="0" borderId="1" applyAlignment="1" pivotButton="0" quotePrefix="0" xfId="0">
      <alignment horizontal="center"/>
    </xf>
    <xf numFmtId="3" fontId="5" fillId="0" borderId="1" pivotButton="0" quotePrefix="0" xfId="0"/>
    <xf numFmtId="0" fontId="5" fillId="0" borderId="1" pivotButton="0" quotePrefix="0" xfId="0"/>
    <xf numFmtId="0" fontId="4" fillId="2" borderId="1" pivotButton="0" quotePrefix="0" xfId="0"/>
    <xf numFmtId="10" fontId="6" fillId="3" borderId="1" pivotButton="0" quotePrefix="0" xfId="0"/>
    <xf numFmtId="0" fontId="2" fillId="0" borderId="1" pivotButton="0" quotePrefix="0" xfId="0"/>
    <xf numFmtId="164" fontId="6" fillId="3" borderId="1" pivotButton="0" quotePrefix="0" xfId="0"/>
    <xf numFmtId="3" fontId="6" fillId="3" borderId="1" pivotButton="0" quotePrefix="0" xfId="0"/>
    <xf numFmtId="165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1" customWidth="1" min="4" max="4"/>
    <col width="10" customWidth="1" min="5" max="5"/>
    <col width="10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1" customWidth="1" min="12" max="12"/>
    <col width="11" customWidth="1" min="13" max="13"/>
    <col width="13" customWidth="1" min="14" max="14"/>
  </cols>
  <sheetData>
    <row r="1">
      <c r="A1" s="1" t="inlineStr">
        <is>
          <t>소싱 게이트 계산기</t>
        </is>
      </c>
    </row>
    <row r="2">
      <c r="A2" s="2" t="inlineStr">
        <is>
          <t>파란 글씨 셀(C·D·E열)만 입력하세요. 나머지는 자동 계산됩니다.</t>
        </is>
      </c>
    </row>
    <row r="3">
      <c r="A3" s="2" t="inlineStr">
        <is>
          <t>게이트1 판정은 네이버(주력 채널) 기여이익 기준입니다. 다른 채널 기여이익은 참고용으로 나란히 표시됩니다.</t>
        </is>
      </c>
    </row>
    <row r="4">
      <c r="A4" s="2" t="inlineStr">
        <is>
          <t>7행은 입력 형식을 보여주는 예시입니다. 실제 사용 시 덮어쓰세요.</t>
        </is>
      </c>
    </row>
    <row r="6" ht="30" customHeight="1">
      <c r="A6" s="3" t="inlineStr">
        <is>
          <t>상품명</t>
        </is>
      </c>
      <c r="B6" s="3" t="inlineStr">
        <is>
          <t>키워드</t>
        </is>
      </c>
      <c r="C6" s="3" t="inlineStr">
        <is>
          <t>판매가</t>
        </is>
      </c>
      <c r="D6" s="3" t="inlineStr">
        <is>
          <t>공급가</t>
        </is>
      </c>
      <c r="E6" s="3" t="inlineStr">
        <is>
          <t>배송비</t>
        </is>
      </c>
      <c r="F6" s="3" t="inlineStr">
        <is>
          <t>원가율</t>
        </is>
      </c>
      <c r="G6" s="3" t="inlineStr">
        <is>
          <t>네이버
수수료</t>
        </is>
      </c>
      <c r="H6" s="3" t="inlineStr">
        <is>
          <t>네이버
기여이익</t>
        </is>
      </c>
      <c r="I6" s="3" t="inlineStr">
        <is>
          <t>토스
(광고경유)</t>
        </is>
      </c>
      <c r="J6" s="3" t="inlineStr">
        <is>
          <t>토스
(일반)</t>
        </is>
      </c>
      <c r="K6" s="3" t="inlineStr">
        <is>
          <t>쿠팡
(생활용품)</t>
        </is>
      </c>
      <c r="L6" s="3" t="inlineStr">
        <is>
          <t>게이트1
판정</t>
        </is>
      </c>
      <c r="M6" s="3" t="inlineStr">
        <is>
          <t>허용 CPA</t>
        </is>
      </c>
      <c r="N6" s="3" t="inlineStr">
        <is>
          <t>필요전환율
@CPC250</t>
        </is>
      </c>
    </row>
    <row r="7">
      <c r="A7" s="4" t="inlineStr">
        <is>
          <t>[예시] 차량용 무선청소기</t>
        </is>
      </c>
      <c r="B7" s="4" t="inlineStr">
        <is>
          <t>차량용청소기</t>
        </is>
      </c>
      <c r="C7" s="5" t="n">
        <v>45000</v>
      </c>
      <c r="D7" s="5" t="n">
        <v>20250</v>
      </c>
      <c r="E7" s="5" t="n">
        <v>3000</v>
      </c>
      <c r="F7" s="6">
        <f>IF(OR(C7="",D7=""),"",D7/C7)</f>
        <v/>
      </c>
      <c r="G7" s="7">
        <f>IF(C7="","",C7*기준표!$B$6)</f>
        <v/>
      </c>
      <c r="H7" s="7">
        <f>IF(OR(C7="",D7="",E7=""),"",C7-D7-E7-G7)</f>
        <v/>
      </c>
      <c r="I7" s="7">
        <f>IF(OR(C7="",D7="",E7=""),"",C7-D7-E7-C7*기준표!$B$10)</f>
        <v/>
      </c>
      <c r="J7" s="7">
        <f>IF(OR(C7="",D7="",E7=""),"",C7-D7-E7-C7*기준표!$B$9)</f>
        <v/>
      </c>
      <c r="K7" s="7">
        <f>IF(OR(C7="",D7="",E7=""),"",C7-D7-E7-C7*기준표!$B$11)</f>
        <v/>
      </c>
      <c r="L7" s="8">
        <f>IF(H7="","",IF(H7&gt;=기준표!$B$22,"PASS","FAIL"))</f>
        <v/>
      </c>
      <c r="M7" s="7">
        <f>IF(H7="","",H7-기준표!$B$23)</f>
        <v/>
      </c>
      <c r="N7" s="9">
        <f>IF(OR(M7="",M7&lt;=0),"",기준표!$B$24/M7)</f>
        <v/>
      </c>
    </row>
    <row r="8">
      <c r="A8" s="10" t="n"/>
      <c r="B8" s="10" t="n"/>
      <c r="C8" s="11" t="n"/>
      <c r="D8" s="11" t="n"/>
      <c r="E8" s="11" t="n"/>
      <c r="F8" s="6">
        <f>IF(OR(C8="",D8=""),"",D8/C8)</f>
        <v/>
      </c>
      <c r="G8" s="7">
        <f>IF(C8="","",C8*기준표!$B$6)</f>
        <v/>
      </c>
      <c r="H8" s="7">
        <f>IF(OR(C8="",D8="",E8=""),"",C8-D8-E8-G8)</f>
        <v/>
      </c>
      <c r="I8" s="7">
        <f>IF(OR(C8="",D8="",E8=""),"",C8-D8-E8-C8*기준표!$B$10)</f>
        <v/>
      </c>
      <c r="J8" s="7">
        <f>IF(OR(C8="",D8="",E8=""),"",C8-D8-E8-C8*기준표!$B$9)</f>
        <v/>
      </c>
      <c r="K8" s="7">
        <f>IF(OR(C8="",D8="",E8=""),"",C8-D8-E8-C8*기준표!$B$11)</f>
        <v/>
      </c>
      <c r="L8" s="8">
        <f>IF(H8="","",IF(H8&gt;=기준표!$B$22,"PASS","FAIL"))</f>
        <v/>
      </c>
      <c r="M8" s="7">
        <f>IF(H8="","",H8-기준표!$B$23)</f>
        <v/>
      </c>
      <c r="N8" s="9">
        <f>IF(OR(M8="",M8&lt;=0),"",기준표!$B$24/M8)</f>
        <v/>
      </c>
    </row>
    <row r="9">
      <c r="A9" s="10" t="n"/>
      <c r="B9" s="10" t="n"/>
      <c r="C9" s="11" t="n"/>
      <c r="D9" s="11" t="n"/>
      <c r="E9" s="11" t="n"/>
      <c r="F9" s="6">
        <f>IF(OR(C9="",D9=""),"",D9/C9)</f>
        <v/>
      </c>
      <c r="G9" s="7">
        <f>IF(C9="","",C9*기준표!$B$6)</f>
        <v/>
      </c>
      <c r="H9" s="7">
        <f>IF(OR(C9="",D9="",E9=""),"",C9-D9-E9-G9)</f>
        <v/>
      </c>
      <c r="I9" s="7">
        <f>IF(OR(C9="",D9="",E9=""),"",C9-D9-E9-C9*기준표!$B$10)</f>
        <v/>
      </c>
      <c r="J9" s="7">
        <f>IF(OR(C9="",D9="",E9=""),"",C9-D9-E9-C9*기준표!$B$9)</f>
        <v/>
      </c>
      <c r="K9" s="7">
        <f>IF(OR(C9="",D9="",E9=""),"",C9-D9-E9-C9*기준표!$B$11)</f>
        <v/>
      </c>
      <c r="L9" s="8">
        <f>IF(H9="","",IF(H9&gt;=기준표!$B$22,"PASS","FAIL"))</f>
        <v/>
      </c>
      <c r="M9" s="7">
        <f>IF(H9="","",H9-기준표!$B$23)</f>
        <v/>
      </c>
      <c r="N9" s="9">
        <f>IF(OR(M9="",M9&lt;=0),"",기준표!$B$24/M9)</f>
        <v/>
      </c>
    </row>
    <row r="10">
      <c r="A10" s="10" t="n"/>
      <c r="B10" s="10" t="n"/>
      <c r="C10" s="11" t="n"/>
      <c r="D10" s="11" t="n"/>
      <c r="E10" s="11" t="n"/>
      <c r="F10" s="6">
        <f>IF(OR(C10="",D10=""),"",D10/C10)</f>
        <v/>
      </c>
      <c r="G10" s="7">
        <f>IF(C10="","",C10*기준표!$B$6)</f>
        <v/>
      </c>
      <c r="H10" s="7">
        <f>IF(OR(C10="",D10="",E10=""),"",C10-D10-E10-G10)</f>
        <v/>
      </c>
      <c r="I10" s="7">
        <f>IF(OR(C10="",D10="",E10=""),"",C10-D10-E10-C10*기준표!$B$10)</f>
        <v/>
      </c>
      <c r="J10" s="7">
        <f>IF(OR(C10="",D10="",E10=""),"",C10-D10-E10-C10*기준표!$B$9)</f>
        <v/>
      </c>
      <c r="K10" s="7">
        <f>IF(OR(C10="",D10="",E10=""),"",C10-D10-E10-C10*기준표!$B$11)</f>
        <v/>
      </c>
      <c r="L10" s="8">
        <f>IF(H10="","",IF(H10&gt;=기준표!$B$22,"PASS","FAIL"))</f>
        <v/>
      </c>
      <c r="M10" s="7">
        <f>IF(H10="","",H10-기준표!$B$23)</f>
        <v/>
      </c>
      <c r="N10" s="9">
        <f>IF(OR(M10="",M10&lt;=0),"",기준표!$B$24/M10)</f>
        <v/>
      </c>
    </row>
    <row r="11">
      <c r="A11" s="10" t="n"/>
      <c r="B11" s="10" t="n"/>
      <c r="C11" s="11" t="n"/>
      <c r="D11" s="11" t="n"/>
      <c r="E11" s="11" t="n"/>
      <c r="F11" s="6">
        <f>IF(OR(C11="",D11=""),"",D11/C11)</f>
        <v/>
      </c>
      <c r="G11" s="7">
        <f>IF(C11="","",C11*기준표!$B$6)</f>
        <v/>
      </c>
      <c r="H11" s="7">
        <f>IF(OR(C11="",D11="",E11=""),"",C11-D11-E11-G11)</f>
        <v/>
      </c>
      <c r="I11" s="7">
        <f>IF(OR(C11="",D11="",E11=""),"",C11-D11-E11-C11*기준표!$B$10)</f>
        <v/>
      </c>
      <c r="J11" s="7">
        <f>IF(OR(C11="",D11="",E11=""),"",C11-D11-E11-C11*기준표!$B$9)</f>
        <v/>
      </c>
      <c r="K11" s="7">
        <f>IF(OR(C11="",D11="",E11=""),"",C11-D11-E11-C11*기준표!$B$11)</f>
        <v/>
      </c>
      <c r="L11" s="8">
        <f>IF(H11="","",IF(H11&gt;=기준표!$B$22,"PASS","FAIL"))</f>
        <v/>
      </c>
      <c r="M11" s="7">
        <f>IF(H11="","",H11-기준표!$B$23)</f>
        <v/>
      </c>
      <c r="N11" s="9">
        <f>IF(OR(M11="",M11&lt;=0),"",기준표!$B$24/M11)</f>
        <v/>
      </c>
    </row>
    <row r="12">
      <c r="A12" s="10" t="n"/>
      <c r="B12" s="10" t="n"/>
      <c r="C12" s="11" t="n"/>
      <c r="D12" s="11" t="n"/>
      <c r="E12" s="11" t="n"/>
      <c r="F12" s="6">
        <f>IF(OR(C12="",D12=""),"",D12/C12)</f>
        <v/>
      </c>
      <c r="G12" s="7">
        <f>IF(C12="","",C12*기준표!$B$6)</f>
        <v/>
      </c>
      <c r="H12" s="7">
        <f>IF(OR(C12="",D12="",E12=""),"",C12-D12-E12-G12)</f>
        <v/>
      </c>
      <c r="I12" s="7">
        <f>IF(OR(C12="",D12="",E12=""),"",C12-D12-E12-C12*기준표!$B$10)</f>
        <v/>
      </c>
      <c r="J12" s="7">
        <f>IF(OR(C12="",D12="",E12=""),"",C12-D12-E12-C12*기준표!$B$9)</f>
        <v/>
      </c>
      <c r="K12" s="7">
        <f>IF(OR(C12="",D12="",E12=""),"",C12-D12-E12-C12*기준표!$B$11)</f>
        <v/>
      </c>
      <c r="L12" s="8">
        <f>IF(H12="","",IF(H12&gt;=기준표!$B$22,"PASS","FAIL"))</f>
        <v/>
      </c>
      <c r="M12" s="7">
        <f>IF(H12="","",H12-기준표!$B$23)</f>
        <v/>
      </c>
      <c r="N12" s="9">
        <f>IF(OR(M12="",M12&lt;=0),"",기준표!$B$24/M12)</f>
        <v/>
      </c>
    </row>
    <row r="13">
      <c r="A13" s="10" t="n"/>
      <c r="B13" s="10" t="n"/>
      <c r="C13" s="11" t="n"/>
      <c r="D13" s="11" t="n"/>
      <c r="E13" s="11" t="n"/>
      <c r="F13" s="6">
        <f>IF(OR(C13="",D13=""),"",D13/C13)</f>
        <v/>
      </c>
      <c r="G13" s="7">
        <f>IF(C13="","",C13*기준표!$B$6)</f>
        <v/>
      </c>
      <c r="H13" s="7">
        <f>IF(OR(C13="",D13="",E13=""),"",C13-D13-E13-G13)</f>
        <v/>
      </c>
      <c r="I13" s="7">
        <f>IF(OR(C13="",D13="",E13=""),"",C13-D13-E13-C13*기준표!$B$10)</f>
        <v/>
      </c>
      <c r="J13" s="7">
        <f>IF(OR(C13="",D13="",E13=""),"",C13-D13-E13-C13*기준표!$B$9)</f>
        <v/>
      </c>
      <c r="K13" s="7">
        <f>IF(OR(C13="",D13="",E13=""),"",C13-D13-E13-C13*기준표!$B$11)</f>
        <v/>
      </c>
      <c r="L13" s="8">
        <f>IF(H13="","",IF(H13&gt;=기준표!$B$22,"PASS","FAIL"))</f>
        <v/>
      </c>
      <c r="M13" s="7">
        <f>IF(H13="","",H13-기준표!$B$23)</f>
        <v/>
      </c>
      <c r="N13" s="9">
        <f>IF(OR(M13="",M13&lt;=0),"",기준표!$B$24/M13)</f>
        <v/>
      </c>
    </row>
    <row r="14">
      <c r="A14" s="10" t="n"/>
      <c r="B14" s="10" t="n"/>
      <c r="C14" s="11" t="n"/>
      <c r="D14" s="11" t="n"/>
      <c r="E14" s="11" t="n"/>
      <c r="F14" s="6">
        <f>IF(OR(C14="",D14=""),"",D14/C14)</f>
        <v/>
      </c>
      <c r="G14" s="7">
        <f>IF(C14="","",C14*기준표!$B$6)</f>
        <v/>
      </c>
      <c r="H14" s="7">
        <f>IF(OR(C14="",D14="",E14=""),"",C14-D14-E14-G14)</f>
        <v/>
      </c>
      <c r="I14" s="7">
        <f>IF(OR(C14="",D14="",E14=""),"",C14-D14-E14-C14*기준표!$B$10)</f>
        <v/>
      </c>
      <c r="J14" s="7">
        <f>IF(OR(C14="",D14="",E14=""),"",C14-D14-E14-C14*기준표!$B$9)</f>
        <v/>
      </c>
      <c r="K14" s="7">
        <f>IF(OR(C14="",D14="",E14=""),"",C14-D14-E14-C14*기준표!$B$11)</f>
        <v/>
      </c>
      <c r="L14" s="8">
        <f>IF(H14="","",IF(H14&gt;=기준표!$B$22,"PASS","FAIL"))</f>
        <v/>
      </c>
      <c r="M14" s="7">
        <f>IF(H14="","",H14-기준표!$B$23)</f>
        <v/>
      </c>
      <c r="N14" s="9">
        <f>IF(OR(M14="",M14&lt;=0),"",기준표!$B$24/M14)</f>
        <v/>
      </c>
    </row>
    <row r="15">
      <c r="A15" s="10" t="n"/>
      <c r="B15" s="10" t="n"/>
      <c r="C15" s="11" t="n"/>
      <c r="D15" s="11" t="n"/>
      <c r="E15" s="11" t="n"/>
      <c r="F15" s="6">
        <f>IF(OR(C15="",D15=""),"",D15/C15)</f>
        <v/>
      </c>
      <c r="G15" s="7">
        <f>IF(C15="","",C15*기준표!$B$6)</f>
        <v/>
      </c>
      <c r="H15" s="7">
        <f>IF(OR(C15="",D15="",E15=""),"",C15-D15-E15-G15)</f>
        <v/>
      </c>
      <c r="I15" s="7">
        <f>IF(OR(C15="",D15="",E15=""),"",C15-D15-E15-C15*기준표!$B$10)</f>
        <v/>
      </c>
      <c r="J15" s="7">
        <f>IF(OR(C15="",D15="",E15=""),"",C15-D15-E15-C15*기준표!$B$9)</f>
        <v/>
      </c>
      <c r="K15" s="7">
        <f>IF(OR(C15="",D15="",E15=""),"",C15-D15-E15-C15*기준표!$B$11)</f>
        <v/>
      </c>
      <c r="L15" s="8">
        <f>IF(H15="","",IF(H15&gt;=기준표!$B$22,"PASS","FAIL"))</f>
        <v/>
      </c>
      <c r="M15" s="7">
        <f>IF(H15="","",H15-기준표!$B$23)</f>
        <v/>
      </c>
      <c r="N15" s="9">
        <f>IF(OR(M15="",M15&lt;=0),"",기준표!$B$24/M15)</f>
        <v/>
      </c>
    </row>
    <row r="16">
      <c r="A16" s="10" t="n"/>
      <c r="B16" s="10" t="n"/>
      <c r="C16" s="11" t="n"/>
      <c r="D16" s="11" t="n"/>
      <c r="E16" s="11" t="n"/>
      <c r="F16" s="6">
        <f>IF(OR(C16="",D16=""),"",D16/C16)</f>
        <v/>
      </c>
      <c r="G16" s="7">
        <f>IF(C16="","",C16*기준표!$B$6)</f>
        <v/>
      </c>
      <c r="H16" s="7">
        <f>IF(OR(C16="",D16="",E16=""),"",C16-D16-E16-G16)</f>
        <v/>
      </c>
      <c r="I16" s="7">
        <f>IF(OR(C16="",D16="",E16=""),"",C16-D16-E16-C16*기준표!$B$10)</f>
        <v/>
      </c>
      <c r="J16" s="7">
        <f>IF(OR(C16="",D16="",E16=""),"",C16-D16-E16-C16*기준표!$B$9)</f>
        <v/>
      </c>
      <c r="K16" s="7">
        <f>IF(OR(C16="",D16="",E16=""),"",C16-D16-E16-C16*기준표!$B$11)</f>
        <v/>
      </c>
      <c r="L16" s="8">
        <f>IF(H16="","",IF(H16&gt;=기준표!$B$22,"PASS","FAIL"))</f>
        <v/>
      </c>
      <c r="M16" s="7">
        <f>IF(H16="","",H16-기준표!$B$23)</f>
        <v/>
      </c>
      <c r="N16" s="9">
        <f>IF(OR(M16="",M16&lt;=0),"",기준표!$B$24/M16)</f>
        <v/>
      </c>
    </row>
    <row r="17">
      <c r="A17" s="10" t="n"/>
      <c r="B17" s="10" t="n"/>
      <c r="C17" s="11" t="n"/>
      <c r="D17" s="11" t="n"/>
      <c r="E17" s="11" t="n"/>
      <c r="F17" s="6">
        <f>IF(OR(C17="",D17=""),"",D17/C17)</f>
        <v/>
      </c>
      <c r="G17" s="7">
        <f>IF(C17="","",C17*기준표!$B$6)</f>
        <v/>
      </c>
      <c r="H17" s="7">
        <f>IF(OR(C17="",D17="",E17=""),"",C17-D17-E17-G17)</f>
        <v/>
      </c>
      <c r="I17" s="7">
        <f>IF(OR(C17="",D17="",E17=""),"",C17-D17-E17-C17*기준표!$B$10)</f>
        <v/>
      </c>
      <c r="J17" s="7">
        <f>IF(OR(C17="",D17="",E17=""),"",C17-D17-E17-C17*기준표!$B$9)</f>
        <v/>
      </c>
      <c r="K17" s="7">
        <f>IF(OR(C17="",D17="",E17=""),"",C17-D17-E17-C17*기준표!$B$11)</f>
        <v/>
      </c>
      <c r="L17" s="8">
        <f>IF(H17="","",IF(H17&gt;=기준표!$B$22,"PASS","FAIL"))</f>
        <v/>
      </c>
      <c r="M17" s="7">
        <f>IF(H17="","",H17-기준표!$B$23)</f>
        <v/>
      </c>
      <c r="N17" s="9">
        <f>IF(OR(M17="",M17&lt;=0),"",기준표!$B$24/M17)</f>
        <v/>
      </c>
    </row>
    <row r="18">
      <c r="A18" s="10" t="n"/>
      <c r="B18" s="10" t="n"/>
      <c r="C18" s="11" t="n"/>
      <c r="D18" s="11" t="n"/>
      <c r="E18" s="11" t="n"/>
      <c r="F18" s="6">
        <f>IF(OR(C18="",D18=""),"",D18/C18)</f>
        <v/>
      </c>
      <c r="G18" s="7">
        <f>IF(C18="","",C18*기준표!$B$6)</f>
        <v/>
      </c>
      <c r="H18" s="7">
        <f>IF(OR(C18="",D18="",E18=""),"",C18-D18-E18-G18)</f>
        <v/>
      </c>
      <c r="I18" s="7">
        <f>IF(OR(C18="",D18="",E18=""),"",C18-D18-E18-C18*기준표!$B$10)</f>
        <v/>
      </c>
      <c r="J18" s="7">
        <f>IF(OR(C18="",D18="",E18=""),"",C18-D18-E18-C18*기준표!$B$9)</f>
        <v/>
      </c>
      <c r="K18" s="7">
        <f>IF(OR(C18="",D18="",E18=""),"",C18-D18-E18-C18*기준표!$B$11)</f>
        <v/>
      </c>
      <c r="L18" s="8">
        <f>IF(H18="","",IF(H18&gt;=기준표!$B$22,"PASS","FAIL"))</f>
        <v/>
      </c>
      <c r="M18" s="7">
        <f>IF(H18="","",H18-기준표!$B$23)</f>
        <v/>
      </c>
      <c r="N18" s="9">
        <f>IF(OR(M18="",M18&lt;=0),"",기준표!$B$24/M18)</f>
        <v/>
      </c>
    </row>
    <row r="19">
      <c r="A19" s="10" t="n"/>
      <c r="B19" s="10" t="n"/>
      <c r="C19" s="11" t="n"/>
      <c r="D19" s="11" t="n"/>
      <c r="E19" s="11" t="n"/>
      <c r="F19" s="6">
        <f>IF(OR(C19="",D19=""),"",D19/C19)</f>
        <v/>
      </c>
      <c r="G19" s="7">
        <f>IF(C19="","",C19*기준표!$B$6)</f>
        <v/>
      </c>
      <c r="H19" s="7">
        <f>IF(OR(C19="",D19="",E19=""),"",C19-D19-E19-G19)</f>
        <v/>
      </c>
      <c r="I19" s="7">
        <f>IF(OR(C19="",D19="",E19=""),"",C19-D19-E19-C19*기준표!$B$10)</f>
        <v/>
      </c>
      <c r="J19" s="7">
        <f>IF(OR(C19="",D19="",E19=""),"",C19-D19-E19-C19*기준표!$B$9)</f>
        <v/>
      </c>
      <c r="K19" s="7">
        <f>IF(OR(C19="",D19="",E19=""),"",C19-D19-E19-C19*기준표!$B$11)</f>
        <v/>
      </c>
      <c r="L19" s="8">
        <f>IF(H19="","",IF(H19&gt;=기준표!$B$22,"PASS","FAIL"))</f>
        <v/>
      </c>
      <c r="M19" s="7">
        <f>IF(H19="","",H19-기준표!$B$23)</f>
        <v/>
      </c>
      <c r="N19" s="9">
        <f>IF(OR(M19="",M19&lt;=0),"",기준표!$B$24/M19)</f>
        <v/>
      </c>
    </row>
    <row r="20">
      <c r="A20" s="10" t="n"/>
      <c r="B20" s="10" t="n"/>
      <c r="C20" s="11" t="n"/>
      <c r="D20" s="11" t="n"/>
      <c r="E20" s="11" t="n"/>
      <c r="F20" s="6">
        <f>IF(OR(C20="",D20=""),"",D20/C20)</f>
        <v/>
      </c>
      <c r="G20" s="7">
        <f>IF(C20="","",C20*기준표!$B$6)</f>
        <v/>
      </c>
      <c r="H20" s="7">
        <f>IF(OR(C20="",D20="",E20=""),"",C20-D20-E20-G20)</f>
        <v/>
      </c>
      <c r="I20" s="7">
        <f>IF(OR(C20="",D20="",E20=""),"",C20-D20-E20-C20*기준표!$B$10)</f>
        <v/>
      </c>
      <c r="J20" s="7">
        <f>IF(OR(C20="",D20="",E20=""),"",C20-D20-E20-C20*기준표!$B$9)</f>
        <v/>
      </c>
      <c r="K20" s="7">
        <f>IF(OR(C20="",D20="",E20=""),"",C20-D20-E20-C20*기준표!$B$11)</f>
        <v/>
      </c>
      <c r="L20" s="8">
        <f>IF(H20="","",IF(H20&gt;=기준표!$B$22,"PASS","FAIL"))</f>
        <v/>
      </c>
      <c r="M20" s="7">
        <f>IF(H20="","",H20-기준표!$B$23)</f>
        <v/>
      </c>
      <c r="N20" s="9">
        <f>IF(OR(M20="",M20&lt;=0),"",기준표!$B$24/M20)</f>
        <v/>
      </c>
    </row>
    <row r="21">
      <c r="A21" s="10" t="n"/>
      <c r="B21" s="10" t="n"/>
      <c r="C21" s="11" t="n"/>
      <c r="D21" s="11" t="n"/>
      <c r="E21" s="11" t="n"/>
      <c r="F21" s="6">
        <f>IF(OR(C21="",D21=""),"",D21/C21)</f>
        <v/>
      </c>
      <c r="G21" s="7">
        <f>IF(C21="","",C21*기준표!$B$6)</f>
        <v/>
      </c>
      <c r="H21" s="7">
        <f>IF(OR(C21="",D21="",E21=""),"",C21-D21-E21-G21)</f>
        <v/>
      </c>
      <c r="I21" s="7">
        <f>IF(OR(C21="",D21="",E21=""),"",C21-D21-E21-C21*기준표!$B$10)</f>
        <v/>
      </c>
      <c r="J21" s="7">
        <f>IF(OR(C21="",D21="",E21=""),"",C21-D21-E21-C21*기준표!$B$9)</f>
        <v/>
      </c>
      <c r="K21" s="7">
        <f>IF(OR(C21="",D21="",E21=""),"",C21-D21-E21-C21*기준표!$B$11)</f>
        <v/>
      </c>
      <c r="L21" s="8">
        <f>IF(H21="","",IF(H21&gt;=기준표!$B$22,"PASS","FAIL"))</f>
        <v/>
      </c>
      <c r="M21" s="7">
        <f>IF(H21="","",H21-기준표!$B$23)</f>
        <v/>
      </c>
      <c r="N21" s="9">
        <f>IF(OR(M21="",M21&lt;=0),"",기준표!$B$24/M21)</f>
        <v/>
      </c>
    </row>
    <row r="22">
      <c r="A22" s="10" t="n"/>
      <c r="B22" s="10" t="n"/>
      <c r="C22" s="11" t="n"/>
      <c r="D22" s="11" t="n"/>
      <c r="E22" s="11" t="n"/>
      <c r="F22" s="6">
        <f>IF(OR(C22="",D22=""),"",D22/C22)</f>
        <v/>
      </c>
      <c r="G22" s="7">
        <f>IF(C22="","",C22*기준표!$B$6)</f>
        <v/>
      </c>
      <c r="H22" s="7">
        <f>IF(OR(C22="",D22="",E22=""),"",C22-D22-E22-G22)</f>
        <v/>
      </c>
      <c r="I22" s="7">
        <f>IF(OR(C22="",D22="",E22=""),"",C22-D22-E22-C22*기준표!$B$10)</f>
        <v/>
      </c>
      <c r="J22" s="7">
        <f>IF(OR(C22="",D22="",E22=""),"",C22-D22-E22-C22*기준표!$B$9)</f>
        <v/>
      </c>
      <c r="K22" s="7">
        <f>IF(OR(C22="",D22="",E22=""),"",C22-D22-E22-C22*기준표!$B$11)</f>
        <v/>
      </c>
      <c r="L22" s="8">
        <f>IF(H22="","",IF(H22&gt;=기준표!$B$22,"PASS","FAIL"))</f>
        <v/>
      </c>
      <c r="M22" s="7">
        <f>IF(H22="","",H22-기준표!$B$23)</f>
        <v/>
      </c>
      <c r="N22" s="9">
        <f>IF(OR(M22="",M22&lt;=0),"",기준표!$B$24/M22)</f>
        <v/>
      </c>
    </row>
    <row r="23">
      <c r="A23" s="10" t="n"/>
      <c r="B23" s="10" t="n"/>
      <c r="C23" s="11" t="n"/>
      <c r="D23" s="11" t="n"/>
      <c r="E23" s="11" t="n"/>
      <c r="F23" s="6">
        <f>IF(OR(C23="",D23=""),"",D23/C23)</f>
        <v/>
      </c>
      <c r="G23" s="7">
        <f>IF(C23="","",C23*기준표!$B$6)</f>
        <v/>
      </c>
      <c r="H23" s="7">
        <f>IF(OR(C23="",D23="",E23=""),"",C23-D23-E23-G23)</f>
        <v/>
      </c>
      <c r="I23" s="7">
        <f>IF(OR(C23="",D23="",E23=""),"",C23-D23-E23-C23*기준표!$B$10)</f>
        <v/>
      </c>
      <c r="J23" s="7">
        <f>IF(OR(C23="",D23="",E23=""),"",C23-D23-E23-C23*기준표!$B$9)</f>
        <v/>
      </c>
      <c r="K23" s="7">
        <f>IF(OR(C23="",D23="",E23=""),"",C23-D23-E23-C23*기준표!$B$11)</f>
        <v/>
      </c>
      <c r="L23" s="8">
        <f>IF(H23="","",IF(H23&gt;=기준표!$B$22,"PASS","FAIL"))</f>
        <v/>
      </c>
      <c r="M23" s="7">
        <f>IF(H23="","",H23-기준표!$B$23)</f>
        <v/>
      </c>
      <c r="N23" s="9">
        <f>IF(OR(M23="",M23&lt;=0),"",기준표!$B$24/M23)</f>
        <v/>
      </c>
    </row>
    <row r="24">
      <c r="A24" s="10" t="n"/>
      <c r="B24" s="10" t="n"/>
      <c r="C24" s="11" t="n"/>
      <c r="D24" s="11" t="n"/>
      <c r="E24" s="11" t="n"/>
      <c r="F24" s="6">
        <f>IF(OR(C24="",D24=""),"",D24/C24)</f>
        <v/>
      </c>
      <c r="G24" s="7">
        <f>IF(C24="","",C24*기준표!$B$6)</f>
        <v/>
      </c>
      <c r="H24" s="7">
        <f>IF(OR(C24="",D24="",E24=""),"",C24-D24-E24-G24)</f>
        <v/>
      </c>
      <c r="I24" s="7">
        <f>IF(OR(C24="",D24="",E24=""),"",C24-D24-E24-C24*기준표!$B$10)</f>
        <v/>
      </c>
      <c r="J24" s="7">
        <f>IF(OR(C24="",D24="",E24=""),"",C24-D24-E24-C24*기준표!$B$9)</f>
        <v/>
      </c>
      <c r="K24" s="7">
        <f>IF(OR(C24="",D24="",E24=""),"",C24-D24-E24-C24*기준표!$B$11)</f>
        <v/>
      </c>
      <c r="L24" s="8">
        <f>IF(H24="","",IF(H24&gt;=기준표!$B$22,"PASS","FAIL"))</f>
        <v/>
      </c>
      <c r="M24" s="7">
        <f>IF(H24="","",H24-기준표!$B$23)</f>
        <v/>
      </c>
      <c r="N24" s="9">
        <f>IF(OR(M24="",M24&lt;=0),"",기준표!$B$24/M24)</f>
        <v/>
      </c>
    </row>
    <row r="25">
      <c r="A25" s="10" t="n"/>
      <c r="B25" s="10" t="n"/>
      <c r="C25" s="11" t="n"/>
      <c r="D25" s="11" t="n"/>
      <c r="E25" s="11" t="n"/>
      <c r="F25" s="6">
        <f>IF(OR(C25="",D25=""),"",D25/C25)</f>
        <v/>
      </c>
      <c r="G25" s="7">
        <f>IF(C25="","",C25*기준표!$B$6)</f>
        <v/>
      </c>
      <c r="H25" s="7">
        <f>IF(OR(C25="",D25="",E25=""),"",C25-D25-E25-G25)</f>
        <v/>
      </c>
      <c r="I25" s="7">
        <f>IF(OR(C25="",D25="",E25=""),"",C25-D25-E25-C25*기준표!$B$10)</f>
        <v/>
      </c>
      <c r="J25" s="7">
        <f>IF(OR(C25="",D25="",E25=""),"",C25-D25-E25-C25*기준표!$B$9)</f>
        <v/>
      </c>
      <c r="K25" s="7">
        <f>IF(OR(C25="",D25="",E25=""),"",C25-D25-E25-C25*기준표!$B$11)</f>
        <v/>
      </c>
      <c r="L25" s="8">
        <f>IF(H25="","",IF(H25&gt;=기준표!$B$22,"PASS","FAIL"))</f>
        <v/>
      </c>
      <c r="M25" s="7">
        <f>IF(H25="","",H25-기준표!$B$23)</f>
        <v/>
      </c>
      <c r="N25" s="9">
        <f>IF(OR(M25="",M25&lt;=0),"",기준표!$B$24/M25)</f>
        <v/>
      </c>
    </row>
    <row r="26">
      <c r="A26" s="10" t="n"/>
      <c r="B26" s="10" t="n"/>
      <c r="C26" s="11" t="n"/>
      <c r="D26" s="11" t="n"/>
      <c r="E26" s="11" t="n"/>
      <c r="F26" s="6">
        <f>IF(OR(C26="",D26=""),"",D26/C26)</f>
        <v/>
      </c>
      <c r="G26" s="7">
        <f>IF(C26="","",C26*기준표!$B$6)</f>
        <v/>
      </c>
      <c r="H26" s="7">
        <f>IF(OR(C26="",D26="",E26=""),"",C26-D26-E26-G26)</f>
        <v/>
      </c>
      <c r="I26" s="7">
        <f>IF(OR(C26="",D26="",E26=""),"",C26-D26-E26-C26*기준표!$B$10)</f>
        <v/>
      </c>
      <c r="J26" s="7">
        <f>IF(OR(C26="",D26="",E26=""),"",C26-D26-E26-C26*기준표!$B$9)</f>
        <v/>
      </c>
      <c r="K26" s="7">
        <f>IF(OR(C26="",D26="",E26=""),"",C26-D26-E26-C26*기준표!$B$11)</f>
        <v/>
      </c>
      <c r="L26" s="8">
        <f>IF(H26="","",IF(H26&gt;=기준표!$B$22,"PASS","FAIL"))</f>
        <v/>
      </c>
      <c r="M26" s="7">
        <f>IF(H26="","",H26-기준표!$B$23)</f>
        <v/>
      </c>
      <c r="N26" s="9">
        <f>IF(OR(M26="",M26&lt;=0),"",기준표!$B$24/M26)</f>
        <v/>
      </c>
    </row>
    <row r="27">
      <c r="A27" s="10" t="n"/>
      <c r="B27" s="10" t="n"/>
      <c r="C27" s="11" t="n"/>
      <c r="D27" s="11" t="n"/>
      <c r="E27" s="11" t="n"/>
      <c r="F27" s="6">
        <f>IF(OR(C27="",D27=""),"",D27/C27)</f>
        <v/>
      </c>
      <c r="G27" s="7">
        <f>IF(C27="","",C27*기준표!$B$6)</f>
        <v/>
      </c>
      <c r="H27" s="7">
        <f>IF(OR(C27="",D27="",E27=""),"",C27-D27-E27-G27)</f>
        <v/>
      </c>
      <c r="I27" s="7">
        <f>IF(OR(C27="",D27="",E27=""),"",C27-D27-E27-C27*기준표!$B$10)</f>
        <v/>
      </c>
      <c r="J27" s="7">
        <f>IF(OR(C27="",D27="",E27=""),"",C27-D27-E27-C27*기준표!$B$9)</f>
        <v/>
      </c>
      <c r="K27" s="7">
        <f>IF(OR(C27="",D27="",E27=""),"",C27-D27-E27-C27*기준표!$B$11)</f>
        <v/>
      </c>
      <c r="L27" s="8">
        <f>IF(H27="","",IF(H27&gt;=기준표!$B$22,"PASS","FAIL"))</f>
        <v/>
      </c>
      <c r="M27" s="7">
        <f>IF(H27="","",H27-기준표!$B$23)</f>
        <v/>
      </c>
      <c r="N27" s="9">
        <f>IF(OR(M27="",M27&lt;=0),"",기준표!$B$24/M27)</f>
        <v/>
      </c>
    </row>
    <row r="28">
      <c r="A28" s="10" t="n"/>
      <c r="B28" s="10" t="n"/>
      <c r="C28" s="11" t="n"/>
      <c r="D28" s="11" t="n"/>
      <c r="E28" s="11" t="n"/>
      <c r="F28" s="6">
        <f>IF(OR(C28="",D28=""),"",D28/C28)</f>
        <v/>
      </c>
      <c r="G28" s="7">
        <f>IF(C28="","",C28*기준표!$B$6)</f>
        <v/>
      </c>
      <c r="H28" s="7">
        <f>IF(OR(C28="",D28="",E28=""),"",C28-D28-E28-G28)</f>
        <v/>
      </c>
      <c r="I28" s="7">
        <f>IF(OR(C28="",D28="",E28=""),"",C28-D28-E28-C28*기준표!$B$10)</f>
        <v/>
      </c>
      <c r="J28" s="7">
        <f>IF(OR(C28="",D28="",E28=""),"",C28-D28-E28-C28*기준표!$B$9)</f>
        <v/>
      </c>
      <c r="K28" s="7">
        <f>IF(OR(C28="",D28="",E28=""),"",C28-D28-E28-C28*기준표!$B$11)</f>
        <v/>
      </c>
      <c r="L28" s="8">
        <f>IF(H28="","",IF(H28&gt;=기준표!$B$22,"PASS","FAIL"))</f>
        <v/>
      </c>
      <c r="M28" s="7">
        <f>IF(H28="","",H28-기준표!$B$23)</f>
        <v/>
      </c>
      <c r="N28" s="9">
        <f>IF(OR(M28="",M28&lt;=0),"",기준표!$B$24/M28)</f>
        <v/>
      </c>
    </row>
    <row r="29">
      <c r="A29" s="10" t="n"/>
      <c r="B29" s="10" t="n"/>
      <c r="C29" s="11" t="n"/>
      <c r="D29" s="11" t="n"/>
      <c r="E29" s="11" t="n"/>
      <c r="F29" s="6">
        <f>IF(OR(C29="",D29=""),"",D29/C29)</f>
        <v/>
      </c>
      <c r="G29" s="7">
        <f>IF(C29="","",C29*기준표!$B$6)</f>
        <v/>
      </c>
      <c r="H29" s="7">
        <f>IF(OR(C29="",D29="",E29=""),"",C29-D29-E29-G29)</f>
        <v/>
      </c>
      <c r="I29" s="7">
        <f>IF(OR(C29="",D29="",E29=""),"",C29-D29-E29-C29*기준표!$B$10)</f>
        <v/>
      </c>
      <c r="J29" s="7">
        <f>IF(OR(C29="",D29="",E29=""),"",C29-D29-E29-C29*기준표!$B$9)</f>
        <v/>
      </c>
      <c r="K29" s="7">
        <f>IF(OR(C29="",D29="",E29=""),"",C29-D29-E29-C29*기준표!$B$11)</f>
        <v/>
      </c>
      <c r="L29" s="8">
        <f>IF(H29="","",IF(H29&gt;=기준표!$B$22,"PASS","FAIL"))</f>
        <v/>
      </c>
      <c r="M29" s="7">
        <f>IF(H29="","",H29-기준표!$B$23)</f>
        <v/>
      </c>
      <c r="N29" s="9">
        <f>IF(OR(M29="",M29&lt;=0),"",기준표!$B$24/M29)</f>
        <v/>
      </c>
    </row>
    <row r="30">
      <c r="A30" s="10" t="n"/>
      <c r="B30" s="10" t="n"/>
      <c r="C30" s="11" t="n"/>
      <c r="D30" s="11" t="n"/>
      <c r="E30" s="11" t="n"/>
      <c r="F30" s="6">
        <f>IF(OR(C30="",D30=""),"",D30/C30)</f>
        <v/>
      </c>
      <c r="G30" s="7">
        <f>IF(C30="","",C30*기준표!$B$6)</f>
        <v/>
      </c>
      <c r="H30" s="7">
        <f>IF(OR(C30="",D30="",E30=""),"",C30-D30-E30-G30)</f>
        <v/>
      </c>
      <c r="I30" s="7">
        <f>IF(OR(C30="",D30="",E30=""),"",C30-D30-E30-C30*기준표!$B$10)</f>
        <v/>
      </c>
      <c r="J30" s="7">
        <f>IF(OR(C30="",D30="",E30=""),"",C30-D30-E30-C30*기준표!$B$9)</f>
        <v/>
      </c>
      <c r="K30" s="7">
        <f>IF(OR(C30="",D30="",E30=""),"",C30-D30-E30-C30*기준표!$B$11)</f>
        <v/>
      </c>
      <c r="L30" s="8">
        <f>IF(H30="","",IF(H30&gt;=기준표!$B$22,"PASS","FAIL"))</f>
        <v/>
      </c>
      <c r="M30" s="7">
        <f>IF(H30="","",H30-기준표!$B$23)</f>
        <v/>
      </c>
      <c r="N30" s="9">
        <f>IF(OR(M30="",M30&lt;=0),"",기준표!$B$24/M30)</f>
        <v/>
      </c>
    </row>
    <row r="31">
      <c r="A31" s="10" t="n"/>
      <c r="B31" s="10" t="n"/>
      <c r="C31" s="11" t="n"/>
      <c r="D31" s="11" t="n"/>
      <c r="E31" s="11" t="n"/>
      <c r="F31" s="6">
        <f>IF(OR(C31="",D31=""),"",D31/C31)</f>
        <v/>
      </c>
      <c r="G31" s="7">
        <f>IF(C31="","",C31*기준표!$B$6)</f>
        <v/>
      </c>
      <c r="H31" s="7">
        <f>IF(OR(C31="",D31="",E31=""),"",C31-D31-E31-G31)</f>
        <v/>
      </c>
      <c r="I31" s="7">
        <f>IF(OR(C31="",D31="",E31=""),"",C31-D31-E31-C31*기준표!$B$10)</f>
        <v/>
      </c>
      <c r="J31" s="7">
        <f>IF(OR(C31="",D31="",E31=""),"",C31-D31-E31-C31*기준표!$B$9)</f>
        <v/>
      </c>
      <c r="K31" s="7">
        <f>IF(OR(C31="",D31="",E31=""),"",C31-D31-E31-C31*기준표!$B$11)</f>
        <v/>
      </c>
      <c r="L31" s="8">
        <f>IF(H31="","",IF(H31&gt;=기준표!$B$22,"PASS","FAIL"))</f>
        <v/>
      </c>
      <c r="M31" s="7">
        <f>IF(H31="","",H31-기준표!$B$23)</f>
        <v/>
      </c>
      <c r="N31" s="9">
        <f>IF(OR(M31="",M31&lt;=0),"",기준표!$B$24/M31)</f>
        <v/>
      </c>
    </row>
    <row r="32">
      <c r="A32" s="10" t="n"/>
      <c r="B32" s="10" t="n"/>
      <c r="C32" s="11" t="n"/>
      <c r="D32" s="11" t="n"/>
      <c r="E32" s="11" t="n"/>
      <c r="F32" s="6">
        <f>IF(OR(C32="",D32=""),"",D32/C32)</f>
        <v/>
      </c>
      <c r="G32" s="7">
        <f>IF(C32="","",C32*기준표!$B$6)</f>
        <v/>
      </c>
      <c r="H32" s="7">
        <f>IF(OR(C32="",D32="",E32=""),"",C32-D32-E32-G32)</f>
        <v/>
      </c>
      <c r="I32" s="7">
        <f>IF(OR(C32="",D32="",E32=""),"",C32-D32-E32-C32*기준표!$B$10)</f>
        <v/>
      </c>
      <c r="J32" s="7">
        <f>IF(OR(C32="",D32="",E32=""),"",C32-D32-E32-C32*기준표!$B$9)</f>
        <v/>
      </c>
      <c r="K32" s="7">
        <f>IF(OR(C32="",D32="",E32=""),"",C32-D32-E32-C32*기준표!$B$11)</f>
        <v/>
      </c>
      <c r="L32" s="8">
        <f>IF(H32="","",IF(H32&gt;=기준표!$B$22,"PASS","FAIL"))</f>
        <v/>
      </c>
      <c r="M32" s="7">
        <f>IF(H32="","",H32-기준표!$B$23)</f>
        <v/>
      </c>
      <c r="N32" s="9">
        <f>IF(OR(M32="",M32&lt;=0),"",기준표!$B$24/M32)</f>
        <v/>
      </c>
    </row>
    <row r="33">
      <c r="A33" s="10" t="n"/>
      <c r="B33" s="10" t="n"/>
      <c r="C33" s="11" t="n"/>
      <c r="D33" s="11" t="n"/>
      <c r="E33" s="11" t="n"/>
      <c r="F33" s="6">
        <f>IF(OR(C33="",D33=""),"",D33/C33)</f>
        <v/>
      </c>
      <c r="G33" s="7">
        <f>IF(C33="","",C33*기준표!$B$6)</f>
        <v/>
      </c>
      <c r="H33" s="7">
        <f>IF(OR(C33="",D33="",E33=""),"",C33-D33-E33-G33)</f>
        <v/>
      </c>
      <c r="I33" s="7">
        <f>IF(OR(C33="",D33="",E33=""),"",C33-D33-E33-C33*기준표!$B$10)</f>
        <v/>
      </c>
      <c r="J33" s="7">
        <f>IF(OR(C33="",D33="",E33=""),"",C33-D33-E33-C33*기준표!$B$9)</f>
        <v/>
      </c>
      <c r="K33" s="7">
        <f>IF(OR(C33="",D33="",E33=""),"",C33-D33-E33-C33*기준표!$B$11)</f>
        <v/>
      </c>
      <c r="L33" s="8">
        <f>IF(H33="","",IF(H33&gt;=기준표!$B$22,"PASS","FAIL"))</f>
        <v/>
      </c>
      <c r="M33" s="7">
        <f>IF(H33="","",H33-기준표!$B$23)</f>
        <v/>
      </c>
      <c r="N33" s="9">
        <f>IF(OR(M33="",M33&lt;=0),"",기준표!$B$24/M33)</f>
        <v/>
      </c>
    </row>
    <row r="34">
      <c r="A34" s="10" t="n"/>
      <c r="B34" s="10" t="n"/>
      <c r="C34" s="11" t="n"/>
      <c r="D34" s="11" t="n"/>
      <c r="E34" s="11" t="n"/>
      <c r="F34" s="6">
        <f>IF(OR(C34="",D34=""),"",D34/C34)</f>
        <v/>
      </c>
      <c r="G34" s="7">
        <f>IF(C34="","",C34*기준표!$B$6)</f>
        <v/>
      </c>
      <c r="H34" s="7">
        <f>IF(OR(C34="",D34="",E34=""),"",C34-D34-E34-G34)</f>
        <v/>
      </c>
      <c r="I34" s="7">
        <f>IF(OR(C34="",D34="",E34=""),"",C34-D34-E34-C34*기준표!$B$10)</f>
        <v/>
      </c>
      <c r="J34" s="7">
        <f>IF(OR(C34="",D34="",E34=""),"",C34-D34-E34-C34*기준표!$B$9)</f>
        <v/>
      </c>
      <c r="K34" s="7">
        <f>IF(OR(C34="",D34="",E34=""),"",C34-D34-E34-C34*기준표!$B$11)</f>
        <v/>
      </c>
      <c r="L34" s="8">
        <f>IF(H34="","",IF(H34&gt;=기준표!$B$22,"PASS","FAIL"))</f>
        <v/>
      </c>
      <c r="M34" s="7">
        <f>IF(H34="","",H34-기준표!$B$23)</f>
        <v/>
      </c>
      <c r="N34" s="9">
        <f>IF(OR(M34="",M34&lt;=0),"",기준표!$B$24/M34)</f>
        <v/>
      </c>
    </row>
    <row r="35">
      <c r="A35" s="10" t="n"/>
      <c r="B35" s="10" t="n"/>
      <c r="C35" s="11" t="n"/>
      <c r="D35" s="11" t="n"/>
      <c r="E35" s="11" t="n"/>
      <c r="F35" s="6">
        <f>IF(OR(C35="",D35=""),"",D35/C35)</f>
        <v/>
      </c>
      <c r="G35" s="7">
        <f>IF(C35="","",C35*기준표!$B$6)</f>
        <v/>
      </c>
      <c r="H35" s="7">
        <f>IF(OR(C35="",D35="",E35=""),"",C35-D35-E35-G35)</f>
        <v/>
      </c>
      <c r="I35" s="7">
        <f>IF(OR(C35="",D35="",E35=""),"",C35-D35-E35-C35*기준표!$B$10)</f>
        <v/>
      </c>
      <c r="J35" s="7">
        <f>IF(OR(C35="",D35="",E35=""),"",C35-D35-E35-C35*기준표!$B$9)</f>
        <v/>
      </c>
      <c r="K35" s="7">
        <f>IF(OR(C35="",D35="",E35=""),"",C35-D35-E35-C35*기준표!$B$11)</f>
        <v/>
      </c>
      <c r="L35" s="8">
        <f>IF(H35="","",IF(H35&gt;=기준표!$B$22,"PASS","FAIL"))</f>
        <v/>
      </c>
      <c r="M35" s="7">
        <f>IF(H35="","",H35-기준표!$B$23)</f>
        <v/>
      </c>
      <c r="N35" s="9">
        <f>IF(OR(M35="",M35&lt;=0),"",기준표!$B$24/M35)</f>
        <v/>
      </c>
    </row>
    <row r="36">
      <c r="A36" s="10" t="n"/>
      <c r="B36" s="10" t="n"/>
      <c r="C36" s="11" t="n"/>
      <c r="D36" s="11" t="n"/>
      <c r="E36" s="11" t="n"/>
      <c r="F36" s="6">
        <f>IF(OR(C36="",D36=""),"",D36/C36)</f>
        <v/>
      </c>
      <c r="G36" s="7">
        <f>IF(C36="","",C36*기준표!$B$6)</f>
        <v/>
      </c>
      <c r="H36" s="7">
        <f>IF(OR(C36="",D36="",E36=""),"",C36-D36-E36-G36)</f>
        <v/>
      </c>
      <c r="I36" s="7">
        <f>IF(OR(C36="",D36="",E36=""),"",C36-D36-E36-C36*기준표!$B$10)</f>
        <v/>
      </c>
      <c r="J36" s="7">
        <f>IF(OR(C36="",D36="",E36=""),"",C36-D36-E36-C36*기준표!$B$9)</f>
        <v/>
      </c>
      <c r="K36" s="7">
        <f>IF(OR(C36="",D36="",E36=""),"",C36-D36-E36-C36*기준표!$B$11)</f>
        <v/>
      </c>
      <c r="L36" s="8">
        <f>IF(H36="","",IF(H36&gt;=기준표!$B$22,"PASS","FAIL"))</f>
        <v/>
      </c>
      <c r="M36" s="7">
        <f>IF(H36="","",H36-기준표!$B$23)</f>
        <v/>
      </c>
      <c r="N36" s="9">
        <f>IF(OR(M36="",M36&lt;=0),"",기준표!$B$24/M36)</f>
        <v/>
      </c>
    </row>
    <row r="37">
      <c r="A37" s="10" t="n"/>
      <c r="B37" s="10" t="n"/>
      <c r="C37" s="11" t="n"/>
      <c r="D37" s="11" t="n"/>
      <c r="E37" s="11" t="n"/>
      <c r="F37" s="6">
        <f>IF(OR(C37="",D37=""),"",D37/C37)</f>
        <v/>
      </c>
      <c r="G37" s="7">
        <f>IF(C37="","",C37*기준표!$B$6)</f>
        <v/>
      </c>
      <c r="H37" s="7">
        <f>IF(OR(C37="",D37="",E37=""),"",C37-D37-E37-G37)</f>
        <v/>
      </c>
      <c r="I37" s="7">
        <f>IF(OR(C37="",D37="",E37=""),"",C37-D37-E37-C37*기준표!$B$10)</f>
        <v/>
      </c>
      <c r="J37" s="7">
        <f>IF(OR(C37="",D37="",E37=""),"",C37-D37-E37-C37*기준표!$B$9)</f>
        <v/>
      </c>
      <c r="K37" s="7">
        <f>IF(OR(C37="",D37="",E37=""),"",C37-D37-E37-C37*기준표!$B$11)</f>
        <v/>
      </c>
      <c r="L37" s="8">
        <f>IF(H37="","",IF(H37&gt;=기준표!$B$22,"PASS","FAIL"))</f>
        <v/>
      </c>
      <c r="M37" s="7">
        <f>IF(H37="","",H37-기준표!$B$23)</f>
        <v/>
      </c>
      <c r="N37" s="9">
        <f>IF(OR(M37="",M37&lt;=0),"",기준표!$B$24/M37)</f>
        <v/>
      </c>
    </row>
    <row r="38">
      <c r="A38" s="10" t="n"/>
      <c r="B38" s="10" t="n"/>
      <c r="C38" s="11" t="n"/>
      <c r="D38" s="11" t="n"/>
      <c r="E38" s="11" t="n"/>
      <c r="F38" s="6">
        <f>IF(OR(C38="",D38=""),"",D38/C38)</f>
        <v/>
      </c>
      <c r="G38" s="7">
        <f>IF(C38="","",C38*기준표!$B$6)</f>
        <v/>
      </c>
      <c r="H38" s="7">
        <f>IF(OR(C38="",D38="",E38=""),"",C38-D38-E38-G38)</f>
        <v/>
      </c>
      <c r="I38" s="7">
        <f>IF(OR(C38="",D38="",E38=""),"",C38-D38-E38-C38*기준표!$B$10)</f>
        <v/>
      </c>
      <c r="J38" s="7">
        <f>IF(OR(C38="",D38="",E38=""),"",C38-D38-E38-C38*기준표!$B$9)</f>
        <v/>
      </c>
      <c r="K38" s="7">
        <f>IF(OR(C38="",D38="",E38=""),"",C38-D38-E38-C38*기준표!$B$11)</f>
        <v/>
      </c>
      <c r="L38" s="8">
        <f>IF(H38="","",IF(H38&gt;=기준표!$B$22,"PASS","FAIL"))</f>
        <v/>
      </c>
      <c r="M38" s="7">
        <f>IF(H38="","",H38-기준표!$B$23)</f>
        <v/>
      </c>
      <c r="N38" s="9">
        <f>IF(OR(M38="",M38&lt;=0),"",기준표!$B$24/M38)</f>
        <v/>
      </c>
    </row>
    <row r="39">
      <c r="A39" s="10" t="n"/>
      <c r="B39" s="10" t="n"/>
      <c r="C39" s="11" t="n"/>
      <c r="D39" s="11" t="n"/>
      <c r="E39" s="11" t="n"/>
      <c r="F39" s="6">
        <f>IF(OR(C39="",D39=""),"",D39/C39)</f>
        <v/>
      </c>
      <c r="G39" s="7">
        <f>IF(C39="","",C39*기준표!$B$6)</f>
        <v/>
      </c>
      <c r="H39" s="7">
        <f>IF(OR(C39="",D39="",E39=""),"",C39-D39-E39-G39)</f>
        <v/>
      </c>
      <c r="I39" s="7">
        <f>IF(OR(C39="",D39="",E39=""),"",C39-D39-E39-C39*기준표!$B$10)</f>
        <v/>
      </c>
      <c r="J39" s="7">
        <f>IF(OR(C39="",D39="",E39=""),"",C39-D39-E39-C39*기준표!$B$9)</f>
        <v/>
      </c>
      <c r="K39" s="7">
        <f>IF(OR(C39="",D39="",E39=""),"",C39-D39-E39-C39*기준표!$B$11)</f>
        <v/>
      </c>
      <c r="L39" s="8">
        <f>IF(H39="","",IF(H39&gt;=기준표!$B$22,"PASS","FAIL"))</f>
        <v/>
      </c>
      <c r="M39" s="7">
        <f>IF(H39="","",H39-기준표!$B$23)</f>
        <v/>
      </c>
      <c r="N39" s="9">
        <f>IF(OR(M39="",M39&lt;=0),"",기준표!$B$24/M39)</f>
        <v/>
      </c>
    </row>
    <row r="40">
      <c r="A40" s="10" t="n"/>
      <c r="B40" s="10" t="n"/>
      <c r="C40" s="11" t="n"/>
      <c r="D40" s="11" t="n"/>
      <c r="E40" s="11" t="n"/>
      <c r="F40" s="6">
        <f>IF(OR(C40="",D40=""),"",D40/C40)</f>
        <v/>
      </c>
      <c r="G40" s="7">
        <f>IF(C40="","",C40*기준표!$B$6)</f>
        <v/>
      </c>
      <c r="H40" s="7">
        <f>IF(OR(C40="",D40="",E40=""),"",C40-D40-E40-G40)</f>
        <v/>
      </c>
      <c r="I40" s="7">
        <f>IF(OR(C40="",D40="",E40=""),"",C40-D40-E40-C40*기준표!$B$10)</f>
        <v/>
      </c>
      <c r="J40" s="7">
        <f>IF(OR(C40="",D40="",E40=""),"",C40-D40-E40-C40*기준표!$B$9)</f>
        <v/>
      </c>
      <c r="K40" s="7">
        <f>IF(OR(C40="",D40="",E40=""),"",C40-D40-E40-C40*기준표!$B$11)</f>
        <v/>
      </c>
      <c r="L40" s="8">
        <f>IF(H40="","",IF(H40&gt;=기준표!$B$22,"PASS","FAIL"))</f>
        <v/>
      </c>
      <c r="M40" s="7">
        <f>IF(H40="","",H40-기준표!$B$23)</f>
        <v/>
      </c>
      <c r="N40" s="9">
        <f>IF(OR(M40="",M40&lt;=0),"",기준표!$B$24/M40)</f>
        <v/>
      </c>
    </row>
    <row r="41">
      <c r="A41" s="10" t="n"/>
      <c r="B41" s="10" t="n"/>
      <c r="C41" s="11" t="n"/>
      <c r="D41" s="11" t="n"/>
      <c r="E41" s="11" t="n"/>
      <c r="F41" s="6">
        <f>IF(OR(C41="",D41=""),"",D41/C41)</f>
        <v/>
      </c>
      <c r="G41" s="7">
        <f>IF(C41="","",C41*기준표!$B$6)</f>
        <v/>
      </c>
      <c r="H41" s="7">
        <f>IF(OR(C41="",D41="",E41=""),"",C41-D41-E41-G41)</f>
        <v/>
      </c>
      <c r="I41" s="7">
        <f>IF(OR(C41="",D41="",E41=""),"",C41-D41-E41-C41*기준표!$B$10)</f>
        <v/>
      </c>
      <c r="J41" s="7">
        <f>IF(OR(C41="",D41="",E41=""),"",C41-D41-E41-C41*기준표!$B$9)</f>
        <v/>
      </c>
      <c r="K41" s="7">
        <f>IF(OR(C41="",D41="",E41=""),"",C41-D41-E41-C41*기준표!$B$11)</f>
        <v/>
      </c>
      <c r="L41" s="8">
        <f>IF(H41="","",IF(H41&gt;=기준표!$B$22,"PASS","FAIL"))</f>
        <v/>
      </c>
      <c r="M41" s="7">
        <f>IF(H41="","",H41-기준표!$B$23)</f>
        <v/>
      </c>
      <c r="N41" s="9">
        <f>IF(OR(M41="",M41&lt;=0),"",기준표!$B$24/M41)</f>
        <v/>
      </c>
    </row>
    <row r="42">
      <c r="A42" s="10" t="n"/>
      <c r="B42" s="10" t="n"/>
      <c r="C42" s="11" t="n"/>
      <c r="D42" s="11" t="n"/>
      <c r="E42" s="11" t="n"/>
      <c r="F42" s="6">
        <f>IF(OR(C42="",D42=""),"",D42/C42)</f>
        <v/>
      </c>
      <c r="G42" s="7">
        <f>IF(C42="","",C42*기준표!$B$6)</f>
        <v/>
      </c>
      <c r="H42" s="7">
        <f>IF(OR(C42="",D42="",E42=""),"",C42-D42-E42-G42)</f>
        <v/>
      </c>
      <c r="I42" s="7">
        <f>IF(OR(C42="",D42="",E42=""),"",C42-D42-E42-C42*기준표!$B$10)</f>
        <v/>
      </c>
      <c r="J42" s="7">
        <f>IF(OR(C42="",D42="",E42=""),"",C42-D42-E42-C42*기준표!$B$9)</f>
        <v/>
      </c>
      <c r="K42" s="7">
        <f>IF(OR(C42="",D42="",E42=""),"",C42-D42-E42-C42*기준표!$B$11)</f>
        <v/>
      </c>
      <c r="L42" s="8">
        <f>IF(H42="","",IF(H42&gt;=기준표!$B$22,"PASS","FAIL"))</f>
        <v/>
      </c>
      <c r="M42" s="7">
        <f>IF(H42="","",H42-기준표!$B$23)</f>
        <v/>
      </c>
      <c r="N42" s="9">
        <f>IF(OR(M42="",M42&lt;=0),"",기준표!$B$24/M42)</f>
        <v/>
      </c>
    </row>
    <row r="43">
      <c r="A43" s="10" t="n"/>
      <c r="B43" s="10" t="n"/>
      <c r="C43" s="11" t="n"/>
      <c r="D43" s="11" t="n"/>
      <c r="E43" s="11" t="n"/>
      <c r="F43" s="6">
        <f>IF(OR(C43="",D43=""),"",D43/C43)</f>
        <v/>
      </c>
      <c r="G43" s="7">
        <f>IF(C43="","",C43*기준표!$B$6)</f>
        <v/>
      </c>
      <c r="H43" s="7">
        <f>IF(OR(C43="",D43="",E43=""),"",C43-D43-E43-G43)</f>
        <v/>
      </c>
      <c r="I43" s="7">
        <f>IF(OR(C43="",D43="",E43=""),"",C43-D43-E43-C43*기준표!$B$10)</f>
        <v/>
      </c>
      <c r="J43" s="7">
        <f>IF(OR(C43="",D43="",E43=""),"",C43-D43-E43-C43*기준표!$B$9)</f>
        <v/>
      </c>
      <c r="K43" s="7">
        <f>IF(OR(C43="",D43="",E43=""),"",C43-D43-E43-C43*기준표!$B$11)</f>
        <v/>
      </c>
      <c r="L43" s="8">
        <f>IF(H43="","",IF(H43&gt;=기준표!$B$22,"PASS","FAIL"))</f>
        <v/>
      </c>
      <c r="M43" s="7">
        <f>IF(H43="","",H43-기준표!$B$23)</f>
        <v/>
      </c>
      <c r="N43" s="9">
        <f>IF(OR(M43="",M43&lt;=0),"",기준표!$B$24/M43)</f>
        <v/>
      </c>
    </row>
    <row r="44">
      <c r="A44" s="10" t="n"/>
      <c r="B44" s="10" t="n"/>
      <c r="C44" s="11" t="n"/>
      <c r="D44" s="11" t="n"/>
      <c r="E44" s="11" t="n"/>
      <c r="F44" s="6">
        <f>IF(OR(C44="",D44=""),"",D44/C44)</f>
        <v/>
      </c>
      <c r="G44" s="7">
        <f>IF(C44="","",C44*기준표!$B$6)</f>
        <v/>
      </c>
      <c r="H44" s="7">
        <f>IF(OR(C44="",D44="",E44=""),"",C44-D44-E44-G44)</f>
        <v/>
      </c>
      <c r="I44" s="7">
        <f>IF(OR(C44="",D44="",E44=""),"",C44-D44-E44-C44*기준표!$B$10)</f>
        <v/>
      </c>
      <c r="J44" s="7">
        <f>IF(OR(C44="",D44="",E44=""),"",C44-D44-E44-C44*기준표!$B$9)</f>
        <v/>
      </c>
      <c r="K44" s="7">
        <f>IF(OR(C44="",D44="",E44=""),"",C44-D44-E44-C44*기준표!$B$11)</f>
        <v/>
      </c>
      <c r="L44" s="8">
        <f>IF(H44="","",IF(H44&gt;=기준표!$B$22,"PASS","FAIL"))</f>
        <v/>
      </c>
      <c r="M44" s="7">
        <f>IF(H44="","",H44-기준표!$B$23)</f>
        <v/>
      </c>
      <c r="N44" s="9">
        <f>IF(OR(M44="",M44&lt;=0),"",기준표!$B$24/M44)</f>
        <v/>
      </c>
    </row>
    <row r="45">
      <c r="A45" s="10" t="n"/>
      <c r="B45" s="10" t="n"/>
      <c r="C45" s="11" t="n"/>
      <c r="D45" s="11" t="n"/>
      <c r="E45" s="11" t="n"/>
      <c r="F45" s="6">
        <f>IF(OR(C45="",D45=""),"",D45/C45)</f>
        <v/>
      </c>
      <c r="G45" s="7">
        <f>IF(C45="","",C45*기준표!$B$6)</f>
        <v/>
      </c>
      <c r="H45" s="7">
        <f>IF(OR(C45="",D45="",E45=""),"",C45-D45-E45-G45)</f>
        <v/>
      </c>
      <c r="I45" s="7">
        <f>IF(OR(C45="",D45="",E45=""),"",C45-D45-E45-C45*기준표!$B$10)</f>
        <v/>
      </c>
      <c r="J45" s="7">
        <f>IF(OR(C45="",D45="",E45=""),"",C45-D45-E45-C45*기준표!$B$9)</f>
        <v/>
      </c>
      <c r="K45" s="7">
        <f>IF(OR(C45="",D45="",E45=""),"",C45-D45-E45-C45*기준표!$B$11)</f>
        <v/>
      </c>
      <c r="L45" s="8">
        <f>IF(H45="","",IF(H45&gt;=기준표!$B$22,"PASS","FAIL"))</f>
        <v/>
      </c>
      <c r="M45" s="7">
        <f>IF(H45="","",H45-기준표!$B$23)</f>
        <v/>
      </c>
      <c r="N45" s="9">
        <f>IF(OR(M45="",M45&lt;=0),"",기준표!$B$24/M45)</f>
        <v/>
      </c>
    </row>
    <row r="46">
      <c r="A46" s="10" t="n"/>
      <c r="B46" s="10" t="n"/>
      <c r="C46" s="11" t="n"/>
      <c r="D46" s="11" t="n"/>
      <c r="E46" s="11" t="n"/>
      <c r="F46" s="6">
        <f>IF(OR(C46="",D46=""),"",D46/C46)</f>
        <v/>
      </c>
      <c r="G46" s="7">
        <f>IF(C46="","",C46*기준표!$B$6)</f>
        <v/>
      </c>
      <c r="H46" s="7">
        <f>IF(OR(C46="",D46="",E46=""),"",C46-D46-E46-G46)</f>
        <v/>
      </c>
      <c r="I46" s="7">
        <f>IF(OR(C46="",D46="",E46=""),"",C46-D46-E46-C46*기준표!$B$10)</f>
        <v/>
      </c>
      <c r="J46" s="7">
        <f>IF(OR(C46="",D46="",E46=""),"",C46-D46-E46-C46*기준표!$B$9)</f>
        <v/>
      </c>
      <c r="K46" s="7">
        <f>IF(OR(C46="",D46="",E46=""),"",C46-D46-E46-C46*기준표!$B$11)</f>
        <v/>
      </c>
      <c r="L46" s="8">
        <f>IF(H46="","",IF(H46&gt;=기준표!$B$22,"PASS","FAIL"))</f>
        <v/>
      </c>
      <c r="M46" s="7">
        <f>IF(H46="","",H46-기준표!$B$23)</f>
        <v/>
      </c>
      <c r="N46" s="9">
        <f>IF(OR(M46="",M46&lt;=0),"",기준표!$B$24/M46)</f>
        <v/>
      </c>
    </row>
    <row r="48">
      <c r="A48" s="12" t="inlineStr">
        <is>
          <t>판정 읽는 법</t>
        </is>
      </c>
    </row>
    <row r="49">
      <c r="A49" s="2" t="inlineStr">
        <is>
          <t>· 게이트1 PASS = 네이버 기여이익이 기준표 임계값(기본 18,000원) 이상</t>
        </is>
      </c>
    </row>
    <row r="50">
      <c r="A50" s="2" t="inlineStr">
        <is>
          <t>· 허용 CPA = 목표 순이익을 남기고 광고에 쓸 수 있는 건당 상한. 음수면 광고비 0원이어도 목표 미달</t>
        </is>
      </c>
    </row>
    <row r="51">
      <c r="A51" s="2" t="inlineStr">
        <is>
          <t>· 필요전환율 = CPC 250원 기준. 국내 이커머스 평균 1.33~2%, 상위 20% 3.3%. 4% 넘으면 사실상 불가</t>
        </is>
      </c>
    </row>
    <row r="52">
      <c r="A52" s="2" t="inlineStr">
        <is>
          <t>· 토스(광고경유)는 판매수수료 0%지만 CPC 광고비가 별도이므로 다른 채널과 직접 비교하지 말 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3" customWidth="1" min="4" max="4"/>
    <col width="10" customWidth="1" min="5" max="5"/>
    <col width="11" customWidth="1" min="6" max="6"/>
    <col width="11" customWidth="1" min="7" max="7"/>
    <col width="34" customWidth="1" min="8" max="8"/>
  </cols>
  <sheetData>
    <row r="1">
      <c r="A1" s="1" t="inlineStr">
        <is>
          <t>수요 스캔 (1층 필터)</t>
        </is>
      </c>
    </row>
    <row r="2">
      <c r="A2" s="2" t="inlineStr">
        <is>
          <t>파란 글씨 셀만 입력. 월간검색량은 네이버 검색광고 키워드도구, 진폭·YoY는 네이버 데이터랩에서.</t>
        </is>
      </c>
    </row>
    <row r="3">
      <c r="A3" s="2" t="inlineStr">
        <is>
          <t>계절진폭 = 최근 1년 피크월 ÷ 저점월. YoY는 소수로 입력 (예: -12% → -0.12).</t>
        </is>
      </c>
    </row>
    <row r="5" ht="30" customHeight="1">
      <c r="A5" s="3" t="inlineStr">
        <is>
          <t>키워드</t>
        </is>
      </c>
      <c r="B5" s="3" t="inlineStr">
        <is>
          <t>월간검색량</t>
        </is>
      </c>
      <c r="C5" s="3" t="inlineStr">
        <is>
          <t>검색량
판정</t>
        </is>
      </c>
      <c r="D5" s="3" t="inlineStr">
        <is>
          <t>계절진폭
(피크÷저점)</t>
        </is>
      </c>
      <c r="E5" s="3" t="inlineStr">
        <is>
          <t>YoY</t>
        </is>
      </c>
      <c r="F5" s="3" t="inlineStr">
        <is>
          <t>유형</t>
        </is>
      </c>
      <c r="G5" s="3" t="inlineStr">
        <is>
          <t>종합판정</t>
        </is>
      </c>
      <c r="H5" s="3" t="inlineStr">
        <is>
          <t>메모</t>
        </is>
      </c>
    </row>
    <row r="6">
      <c r="A6" s="4" t="inlineStr">
        <is>
          <t>[예시] 차량용청소기</t>
        </is>
      </c>
      <c r="B6" s="13" t="n">
        <v>22000</v>
      </c>
      <c r="C6" s="8">
        <f>IF(B6="","",IF(B6&gt;=기준표!$B$25,"PASS","FAIL"))</f>
        <v/>
      </c>
      <c r="D6" s="14" t="n">
        <v>1.4</v>
      </c>
      <c r="E6" s="15" t="n">
        <v>-0.05</v>
      </c>
      <c r="F6" s="16">
        <f>IF(D6="","",IF(D6&gt;=3,"시즌형",IF(D6&lt;=1.5,"상시형","중간")))</f>
        <v/>
      </c>
      <c r="G6" s="8">
        <f>IF(OR(B6="",D6="",E6=""),"",IF(AND(B6&gt;=기준표!$B$25,OR(D6&gt;=3,D6&lt;=1.5),E6&gt;=-0.1),"PASS","FAIL"))</f>
        <v/>
      </c>
      <c r="H6" s="4" t="inlineStr">
        <is>
          <t>상시형, 시장 유지 중</t>
        </is>
      </c>
    </row>
    <row r="7">
      <c r="A7" s="10" t="n"/>
      <c r="B7" s="17" t="n"/>
      <c r="C7" s="8">
        <f>IF(B7="","",IF(B7&gt;=기준표!$B$25,"PASS","FAIL"))</f>
        <v/>
      </c>
      <c r="D7" s="18" t="n"/>
      <c r="E7" s="19" t="n"/>
      <c r="F7" s="16">
        <f>IF(D7="","",IF(D7&gt;=3,"시즌형",IF(D7&lt;=1.5,"상시형","중간")))</f>
        <v/>
      </c>
      <c r="G7" s="8">
        <f>IF(OR(B7="",D7="",E7=""),"",IF(AND(B7&gt;=기준표!$B$25,OR(D7&gt;=3,D7&lt;=1.5),E7&gt;=-0.1),"PASS","FAIL"))</f>
        <v/>
      </c>
      <c r="H7" s="10" t="n"/>
    </row>
    <row r="8">
      <c r="A8" s="10" t="n"/>
      <c r="B8" s="17" t="n"/>
      <c r="C8" s="8">
        <f>IF(B8="","",IF(B8&gt;=기준표!$B$25,"PASS","FAIL"))</f>
        <v/>
      </c>
      <c r="D8" s="18" t="n"/>
      <c r="E8" s="19" t="n"/>
      <c r="F8" s="16">
        <f>IF(D8="","",IF(D8&gt;=3,"시즌형",IF(D8&lt;=1.5,"상시형","중간")))</f>
        <v/>
      </c>
      <c r="G8" s="8">
        <f>IF(OR(B8="",D8="",E8=""),"",IF(AND(B8&gt;=기준표!$B$25,OR(D8&gt;=3,D8&lt;=1.5),E8&gt;=-0.1),"PASS","FAIL"))</f>
        <v/>
      </c>
      <c r="H8" s="10" t="n"/>
    </row>
    <row r="9">
      <c r="A9" s="10" t="n"/>
      <c r="B9" s="17" t="n"/>
      <c r="C9" s="8">
        <f>IF(B9="","",IF(B9&gt;=기준표!$B$25,"PASS","FAIL"))</f>
        <v/>
      </c>
      <c r="D9" s="18" t="n"/>
      <c r="E9" s="19" t="n"/>
      <c r="F9" s="16">
        <f>IF(D9="","",IF(D9&gt;=3,"시즌형",IF(D9&lt;=1.5,"상시형","중간")))</f>
        <v/>
      </c>
      <c r="G9" s="8">
        <f>IF(OR(B9="",D9="",E9=""),"",IF(AND(B9&gt;=기준표!$B$25,OR(D9&gt;=3,D9&lt;=1.5),E9&gt;=-0.1),"PASS","FAIL"))</f>
        <v/>
      </c>
      <c r="H9" s="10" t="n"/>
    </row>
    <row r="10">
      <c r="A10" s="10" t="n"/>
      <c r="B10" s="17" t="n"/>
      <c r="C10" s="8">
        <f>IF(B10="","",IF(B10&gt;=기준표!$B$25,"PASS","FAIL"))</f>
        <v/>
      </c>
      <c r="D10" s="18" t="n"/>
      <c r="E10" s="19" t="n"/>
      <c r="F10" s="16">
        <f>IF(D10="","",IF(D10&gt;=3,"시즌형",IF(D10&lt;=1.5,"상시형","중간")))</f>
        <v/>
      </c>
      <c r="G10" s="8">
        <f>IF(OR(B10="",D10="",E10=""),"",IF(AND(B10&gt;=기준표!$B$25,OR(D10&gt;=3,D10&lt;=1.5),E10&gt;=-0.1),"PASS","FAIL"))</f>
        <v/>
      </c>
      <c r="H10" s="10" t="n"/>
    </row>
    <row r="11">
      <c r="A11" s="10" t="n"/>
      <c r="B11" s="17" t="n"/>
      <c r="C11" s="8">
        <f>IF(B11="","",IF(B11&gt;=기준표!$B$25,"PASS","FAIL"))</f>
        <v/>
      </c>
      <c r="D11" s="18" t="n"/>
      <c r="E11" s="19" t="n"/>
      <c r="F11" s="16">
        <f>IF(D11="","",IF(D11&gt;=3,"시즌형",IF(D11&lt;=1.5,"상시형","중간")))</f>
        <v/>
      </c>
      <c r="G11" s="8">
        <f>IF(OR(B11="",D11="",E11=""),"",IF(AND(B11&gt;=기준표!$B$25,OR(D11&gt;=3,D11&lt;=1.5),E11&gt;=-0.1),"PASS","FAIL"))</f>
        <v/>
      </c>
      <c r="H11" s="10" t="n"/>
    </row>
    <row r="12">
      <c r="A12" s="10" t="n"/>
      <c r="B12" s="17" t="n"/>
      <c r="C12" s="8">
        <f>IF(B12="","",IF(B12&gt;=기준표!$B$25,"PASS","FAIL"))</f>
        <v/>
      </c>
      <c r="D12" s="18" t="n"/>
      <c r="E12" s="19" t="n"/>
      <c r="F12" s="16">
        <f>IF(D12="","",IF(D12&gt;=3,"시즌형",IF(D12&lt;=1.5,"상시형","중간")))</f>
        <v/>
      </c>
      <c r="G12" s="8">
        <f>IF(OR(B12="",D12="",E12=""),"",IF(AND(B12&gt;=기준표!$B$25,OR(D12&gt;=3,D12&lt;=1.5),E12&gt;=-0.1),"PASS","FAIL"))</f>
        <v/>
      </c>
      <c r="H12" s="10" t="n"/>
    </row>
    <row r="13">
      <c r="A13" s="10" t="n"/>
      <c r="B13" s="17" t="n"/>
      <c r="C13" s="8">
        <f>IF(B13="","",IF(B13&gt;=기준표!$B$25,"PASS","FAIL"))</f>
        <v/>
      </c>
      <c r="D13" s="18" t="n"/>
      <c r="E13" s="19" t="n"/>
      <c r="F13" s="16">
        <f>IF(D13="","",IF(D13&gt;=3,"시즌형",IF(D13&lt;=1.5,"상시형","중간")))</f>
        <v/>
      </c>
      <c r="G13" s="8">
        <f>IF(OR(B13="",D13="",E13=""),"",IF(AND(B13&gt;=기준표!$B$25,OR(D13&gt;=3,D13&lt;=1.5),E13&gt;=-0.1),"PASS","FAIL"))</f>
        <v/>
      </c>
      <c r="H13" s="10" t="n"/>
    </row>
    <row r="14">
      <c r="A14" s="10" t="n"/>
      <c r="B14" s="17" t="n"/>
      <c r="C14" s="8">
        <f>IF(B14="","",IF(B14&gt;=기준표!$B$25,"PASS","FAIL"))</f>
        <v/>
      </c>
      <c r="D14" s="18" t="n"/>
      <c r="E14" s="19" t="n"/>
      <c r="F14" s="16">
        <f>IF(D14="","",IF(D14&gt;=3,"시즌형",IF(D14&lt;=1.5,"상시형","중간")))</f>
        <v/>
      </c>
      <c r="G14" s="8">
        <f>IF(OR(B14="",D14="",E14=""),"",IF(AND(B14&gt;=기준표!$B$25,OR(D14&gt;=3,D14&lt;=1.5),E14&gt;=-0.1),"PASS","FAIL"))</f>
        <v/>
      </c>
      <c r="H14" s="10" t="n"/>
    </row>
    <row r="15">
      <c r="A15" s="10" t="n"/>
      <c r="B15" s="17" t="n"/>
      <c r="C15" s="8">
        <f>IF(B15="","",IF(B15&gt;=기준표!$B$25,"PASS","FAIL"))</f>
        <v/>
      </c>
      <c r="D15" s="18" t="n"/>
      <c r="E15" s="19" t="n"/>
      <c r="F15" s="16">
        <f>IF(D15="","",IF(D15&gt;=3,"시즌형",IF(D15&lt;=1.5,"상시형","중간")))</f>
        <v/>
      </c>
      <c r="G15" s="8">
        <f>IF(OR(B15="",D15="",E15=""),"",IF(AND(B15&gt;=기준표!$B$25,OR(D15&gt;=3,D15&lt;=1.5),E15&gt;=-0.1),"PASS","FAIL"))</f>
        <v/>
      </c>
      <c r="H15" s="10" t="n"/>
    </row>
    <row r="16">
      <c r="A16" s="10" t="n"/>
      <c r="B16" s="17" t="n"/>
      <c r="C16" s="8">
        <f>IF(B16="","",IF(B16&gt;=기준표!$B$25,"PASS","FAIL"))</f>
        <v/>
      </c>
      <c r="D16" s="18" t="n"/>
      <c r="E16" s="19" t="n"/>
      <c r="F16" s="16">
        <f>IF(D16="","",IF(D16&gt;=3,"시즌형",IF(D16&lt;=1.5,"상시형","중간")))</f>
        <v/>
      </c>
      <c r="G16" s="8">
        <f>IF(OR(B16="",D16="",E16=""),"",IF(AND(B16&gt;=기준표!$B$25,OR(D16&gt;=3,D16&lt;=1.5),E16&gt;=-0.1),"PASS","FAIL"))</f>
        <v/>
      </c>
      <c r="H16" s="10" t="n"/>
    </row>
    <row r="17">
      <c r="A17" s="10" t="n"/>
      <c r="B17" s="17" t="n"/>
      <c r="C17" s="8">
        <f>IF(B17="","",IF(B17&gt;=기준표!$B$25,"PASS","FAIL"))</f>
        <v/>
      </c>
      <c r="D17" s="18" t="n"/>
      <c r="E17" s="19" t="n"/>
      <c r="F17" s="16">
        <f>IF(D17="","",IF(D17&gt;=3,"시즌형",IF(D17&lt;=1.5,"상시형","중간")))</f>
        <v/>
      </c>
      <c r="G17" s="8">
        <f>IF(OR(B17="",D17="",E17=""),"",IF(AND(B17&gt;=기준표!$B$25,OR(D17&gt;=3,D17&lt;=1.5),E17&gt;=-0.1),"PASS","FAIL"))</f>
        <v/>
      </c>
      <c r="H17" s="10" t="n"/>
    </row>
    <row r="18">
      <c r="A18" s="10" t="n"/>
      <c r="B18" s="17" t="n"/>
      <c r="C18" s="8">
        <f>IF(B18="","",IF(B18&gt;=기준표!$B$25,"PASS","FAIL"))</f>
        <v/>
      </c>
      <c r="D18" s="18" t="n"/>
      <c r="E18" s="19" t="n"/>
      <c r="F18" s="16">
        <f>IF(D18="","",IF(D18&gt;=3,"시즌형",IF(D18&lt;=1.5,"상시형","중간")))</f>
        <v/>
      </c>
      <c r="G18" s="8">
        <f>IF(OR(B18="",D18="",E18=""),"",IF(AND(B18&gt;=기준표!$B$25,OR(D18&gt;=3,D18&lt;=1.5),E18&gt;=-0.1),"PASS","FAIL"))</f>
        <v/>
      </c>
      <c r="H18" s="10" t="n"/>
    </row>
    <row r="19">
      <c r="A19" s="10" t="n"/>
      <c r="B19" s="17" t="n"/>
      <c r="C19" s="8">
        <f>IF(B19="","",IF(B19&gt;=기준표!$B$25,"PASS","FAIL"))</f>
        <v/>
      </c>
      <c r="D19" s="18" t="n"/>
      <c r="E19" s="19" t="n"/>
      <c r="F19" s="16">
        <f>IF(D19="","",IF(D19&gt;=3,"시즌형",IF(D19&lt;=1.5,"상시형","중간")))</f>
        <v/>
      </c>
      <c r="G19" s="8">
        <f>IF(OR(B19="",D19="",E19=""),"",IF(AND(B19&gt;=기준표!$B$25,OR(D19&gt;=3,D19&lt;=1.5),E19&gt;=-0.1),"PASS","FAIL"))</f>
        <v/>
      </c>
      <c r="H19" s="10" t="n"/>
    </row>
    <row r="20">
      <c r="A20" s="10" t="n"/>
      <c r="B20" s="17" t="n"/>
      <c r="C20" s="8">
        <f>IF(B20="","",IF(B20&gt;=기준표!$B$25,"PASS","FAIL"))</f>
        <v/>
      </c>
      <c r="D20" s="18" t="n"/>
      <c r="E20" s="19" t="n"/>
      <c r="F20" s="16">
        <f>IF(D20="","",IF(D20&gt;=3,"시즌형",IF(D20&lt;=1.5,"상시형","중간")))</f>
        <v/>
      </c>
      <c r="G20" s="8">
        <f>IF(OR(B20="",D20="",E20=""),"",IF(AND(B20&gt;=기준표!$B$25,OR(D20&gt;=3,D20&lt;=1.5),E20&gt;=-0.1),"PASS","FAIL"))</f>
        <v/>
      </c>
      <c r="H20" s="10" t="n"/>
    </row>
    <row r="21">
      <c r="A21" s="10" t="n"/>
      <c r="B21" s="17" t="n"/>
      <c r="C21" s="8">
        <f>IF(B21="","",IF(B21&gt;=기준표!$B$25,"PASS","FAIL"))</f>
        <v/>
      </c>
      <c r="D21" s="18" t="n"/>
      <c r="E21" s="19" t="n"/>
      <c r="F21" s="16">
        <f>IF(D21="","",IF(D21&gt;=3,"시즌형",IF(D21&lt;=1.5,"상시형","중간")))</f>
        <v/>
      </c>
      <c r="G21" s="8">
        <f>IF(OR(B21="",D21="",E21=""),"",IF(AND(B21&gt;=기준표!$B$25,OR(D21&gt;=3,D21&lt;=1.5),E21&gt;=-0.1),"PASS","FAIL"))</f>
        <v/>
      </c>
      <c r="H21" s="10" t="n"/>
    </row>
    <row r="22">
      <c r="A22" s="10" t="n"/>
      <c r="B22" s="17" t="n"/>
      <c r="C22" s="8">
        <f>IF(B22="","",IF(B22&gt;=기준표!$B$25,"PASS","FAIL"))</f>
        <v/>
      </c>
      <c r="D22" s="18" t="n"/>
      <c r="E22" s="19" t="n"/>
      <c r="F22" s="16">
        <f>IF(D22="","",IF(D22&gt;=3,"시즌형",IF(D22&lt;=1.5,"상시형","중간")))</f>
        <v/>
      </c>
      <c r="G22" s="8">
        <f>IF(OR(B22="",D22="",E22=""),"",IF(AND(B22&gt;=기준표!$B$25,OR(D22&gt;=3,D22&lt;=1.5),E22&gt;=-0.1),"PASS","FAIL"))</f>
        <v/>
      </c>
      <c r="H22" s="10" t="n"/>
    </row>
    <row r="23">
      <c r="A23" s="10" t="n"/>
      <c r="B23" s="17" t="n"/>
      <c r="C23" s="8">
        <f>IF(B23="","",IF(B23&gt;=기준표!$B$25,"PASS","FAIL"))</f>
        <v/>
      </c>
      <c r="D23" s="18" t="n"/>
      <c r="E23" s="19" t="n"/>
      <c r="F23" s="16">
        <f>IF(D23="","",IF(D23&gt;=3,"시즌형",IF(D23&lt;=1.5,"상시형","중간")))</f>
        <v/>
      </c>
      <c r="G23" s="8">
        <f>IF(OR(B23="",D23="",E23=""),"",IF(AND(B23&gt;=기준표!$B$25,OR(D23&gt;=3,D23&lt;=1.5),E23&gt;=-0.1),"PASS","FAIL"))</f>
        <v/>
      </c>
      <c r="H23" s="10" t="n"/>
    </row>
    <row r="24">
      <c r="A24" s="10" t="n"/>
      <c r="B24" s="17" t="n"/>
      <c r="C24" s="8">
        <f>IF(B24="","",IF(B24&gt;=기준표!$B$25,"PASS","FAIL"))</f>
        <v/>
      </c>
      <c r="D24" s="18" t="n"/>
      <c r="E24" s="19" t="n"/>
      <c r="F24" s="16">
        <f>IF(D24="","",IF(D24&gt;=3,"시즌형",IF(D24&lt;=1.5,"상시형","중간")))</f>
        <v/>
      </c>
      <c r="G24" s="8">
        <f>IF(OR(B24="",D24="",E24=""),"",IF(AND(B24&gt;=기준표!$B$25,OR(D24&gt;=3,D24&lt;=1.5),E24&gt;=-0.1),"PASS","FAIL"))</f>
        <v/>
      </c>
      <c r="H24" s="10" t="n"/>
    </row>
    <row r="25">
      <c r="A25" s="10" t="n"/>
      <c r="B25" s="17" t="n"/>
      <c r="C25" s="8">
        <f>IF(B25="","",IF(B25&gt;=기준표!$B$25,"PASS","FAIL"))</f>
        <v/>
      </c>
      <c r="D25" s="18" t="n"/>
      <c r="E25" s="19" t="n"/>
      <c r="F25" s="16">
        <f>IF(D25="","",IF(D25&gt;=3,"시즌형",IF(D25&lt;=1.5,"상시형","중간")))</f>
        <v/>
      </c>
      <c r="G25" s="8">
        <f>IF(OR(B25="",D25="",E25=""),"",IF(AND(B25&gt;=기준표!$B$25,OR(D25&gt;=3,D25&lt;=1.5),E25&gt;=-0.1),"PASS","FAIL"))</f>
        <v/>
      </c>
      <c r="H25" s="10" t="n"/>
    </row>
    <row r="26">
      <c r="A26" s="10" t="n"/>
      <c r="B26" s="17" t="n"/>
      <c r="C26" s="8">
        <f>IF(B26="","",IF(B26&gt;=기준표!$B$25,"PASS","FAIL"))</f>
        <v/>
      </c>
      <c r="D26" s="18" t="n"/>
      <c r="E26" s="19" t="n"/>
      <c r="F26" s="16">
        <f>IF(D26="","",IF(D26&gt;=3,"시즌형",IF(D26&lt;=1.5,"상시형","중간")))</f>
        <v/>
      </c>
      <c r="G26" s="8">
        <f>IF(OR(B26="",D26="",E26=""),"",IF(AND(B26&gt;=기준표!$B$25,OR(D26&gt;=3,D26&lt;=1.5),E26&gt;=-0.1),"PASS","FAIL"))</f>
        <v/>
      </c>
      <c r="H26" s="10" t="n"/>
    </row>
    <row r="27">
      <c r="A27" s="10" t="n"/>
      <c r="B27" s="17" t="n"/>
      <c r="C27" s="8">
        <f>IF(B27="","",IF(B27&gt;=기준표!$B$25,"PASS","FAIL"))</f>
        <v/>
      </c>
      <c r="D27" s="18" t="n"/>
      <c r="E27" s="19" t="n"/>
      <c r="F27" s="16">
        <f>IF(D27="","",IF(D27&gt;=3,"시즌형",IF(D27&lt;=1.5,"상시형","중간")))</f>
        <v/>
      </c>
      <c r="G27" s="8">
        <f>IF(OR(B27="",D27="",E27=""),"",IF(AND(B27&gt;=기준표!$B$25,OR(D27&gt;=3,D27&lt;=1.5),E27&gt;=-0.1),"PASS","FAIL"))</f>
        <v/>
      </c>
      <c r="H27" s="10" t="n"/>
    </row>
    <row r="28">
      <c r="A28" s="10" t="n"/>
      <c r="B28" s="17" t="n"/>
      <c r="C28" s="8">
        <f>IF(B28="","",IF(B28&gt;=기준표!$B$25,"PASS","FAIL"))</f>
        <v/>
      </c>
      <c r="D28" s="18" t="n"/>
      <c r="E28" s="19" t="n"/>
      <c r="F28" s="16">
        <f>IF(D28="","",IF(D28&gt;=3,"시즌형",IF(D28&lt;=1.5,"상시형","중간")))</f>
        <v/>
      </c>
      <c r="G28" s="8">
        <f>IF(OR(B28="",D28="",E28=""),"",IF(AND(B28&gt;=기준표!$B$25,OR(D28&gt;=3,D28&lt;=1.5),E28&gt;=-0.1),"PASS","FAIL"))</f>
        <v/>
      </c>
      <c r="H28" s="10" t="n"/>
    </row>
    <row r="29">
      <c r="A29" s="10" t="n"/>
      <c r="B29" s="17" t="n"/>
      <c r="C29" s="8">
        <f>IF(B29="","",IF(B29&gt;=기준표!$B$25,"PASS","FAIL"))</f>
        <v/>
      </c>
      <c r="D29" s="18" t="n"/>
      <c r="E29" s="19" t="n"/>
      <c r="F29" s="16">
        <f>IF(D29="","",IF(D29&gt;=3,"시즌형",IF(D29&lt;=1.5,"상시형","중간")))</f>
        <v/>
      </c>
      <c r="G29" s="8">
        <f>IF(OR(B29="",D29="",E29=""),"",IF(AND(B29&gt;=기준표!$B$25,OR(D29&gt;=3,D29&lt;=1.5),E29&gt;=-0.1),"PASS","FAIL"))</f>
        <v/>
      </c>
      <c r="H29" s="10" t="n"/>
    </row>
    <row r="30">
      <c r="A30" s="10" t="n"/>
      <c r="B30" s="17" t="n"/>
      <c r="C30" s="8">
        <f>IF(B30="","",IF(B30&gt;=기준표!$B$25,"PASS","FAIL"))</f>
        <v/>
      </c>
      <c r="D30" s="18" t="n"/>
      <c r="E30" s="19" t="n"/>
      <c r="F30" s="16">
        <f>IF(D30="","",IF(D30&gt;=3,"시즌형",IF(D30&lt;=1.5,"상시형","중간")))</f>
        <v/>
      </c>
      <c r="G30" s="8">
        <f>IF(OR(B30="",D30="",E30=""),"",IF(AND(B30&gt;=기준표!$B$25,OR(D30&gt;=3,D30&lt;=1.5),E30&gt;=-0.1),"PASS","FAIL"))</f>
        <v/>
      </c>
      <c r="H30" s="10" t="n"/>
    </row>
    <row r="31">
      <c r="A31" s="10" t="n"/>
      <c r="B31" s="17" t="n"/>
      <c r="C31" s="8">
        <f>IF(B31="","",IF(B31&gt;=기준표!$B$25,"PASS","FAIL"))</f>
        <v/>
      </c>
      <c r="D31" s="18" t="n"/>
      <c r="E31" s="19" t="n"/>
      <c r="F31" s="16">
        <f>IF(D31="","",IF(D31&gt;=3,"시즌형",IF(D31&lt;=1.5,"상시형","중간")))</f>
        <v/>
      </c>
      <c r="G31" s="8">
        <f>IF(OR(B31="",D31="",E31=""),"",IF(AND(B31&gt;=기준표!$B$25,OR(D31&gt;=3,D31&lt;=1.5),E31&gt;=-0.1),"PASS","FAIL"))</f>
        <v/>
      </c>
      <c r="H31" s="10" t="n"/>
    </row>
    <row r="32">
      <c r="A32" s="10" t="n"/>
      <c r="B32" s="17" t="n"/>
      <c r="C32" s="8">
        <f>IF(B32="","",IF(B32&gt;=기준표!$B$25,"PASS","FAIL"))</f>
        <v/>
      </c>
      <c r="D32" s="18" t="n"/>
      <c r="E32" s="19" t="n"/>
      <c r="F32" s="16">
        <f>IF(D32="","",IF(D32&gt;=3,"시즌형",IF(D32&lt;=1.5,"상시형","중간")))</f>
        <v/>
      </c>
      <c r="G32" s="8">
        <f>IF(OR(B32="",D32="",E32=""),"",IF(AND(B32&gt;=기준표!$B$25,OR(D32&gt;=3,D32&lt;=1.5),E32&gt;=-0.1),"PASS","FAIL"))</f>
        <v/>
      </c>
      <c r="H32" s="10" t="n"/>
    </row>
    <row r="33">
      <c r="A33" s="10" t="n"/>
      <c r="B33" s="17" t="n"/>
      <c r="C33" s="8">
        <f>IF(B33="","",IF(B33&gt;=기준표!$B$25,"PASS","FAIL"))</f>
        <v/>
      </c>
      <c r="D33" s="18" t="n"/>
      <c r="E33" s="19" t="n"/>
      <c r="F33" s="16">
        <f>IF(D33="","",IF(D33&gt;=3,"시즌형",IF(D33&lt;=1.5,"상시형","중간")))</f>
        <v/>
      </c>
      <c r="G33" s="8">
        <f>IF(OR(B33="",D33="",E33=""),"",IF(AND(B33&gt;=기준표!$B$25,OR(D33&gt;=3,D33&lt;=1.5),E33&gt;=-0.1),"PASS","FAIL"))</f>
        <v/>
      </c>
      <c r="H33" s="10" t="n"/>
    </row>
    <row r="34">
      <c r="A34" s="10" t="n"/>
      <c r="B34" s="17" t="n"/>
      <c r="C34" s="8">
        <f>IF(B34="","",IF(B34&gt;=기준표!$B$25,"PASS","FAIL"))</f>
        <v/>
      </c>
      <c r="D34" s="18" t="n"/>
      <c r="E34" s="19" t="n"/>
      <c r="F34" s="16">
        <f>IF(D34="","",IF(D34&gt;=3,"시즌형",IF(D34&lt;=1.5,"상시형","중간")))</f>
        <v/>
      </c>
      <c r="G34" s="8">
        <f>IF(OR(B34="",D34="",E34=""),"",IF(AND(B34&gt;=기준표!$B$25,OR(D34&gt;=3,D34&lt;=1.5),E34&gt;=-0.1),"PASS","FAIL"))</f>
        <v/>
      </c>
      <c r="H34" s="10" t="n"/>
    </row>
    <row r="35">
      <c r="A35" s="10" t="n"/>
      <c r="B35" s="17" t="n"/>
      <c r="C35" s="8">
        <f>IF(B35="","",IF(B35&gt;=기준표!$B$25,"PASS","FAIL"))</f>
        <v/>
      </c>
      <c r="D35" s="18" t="n"/>
      <c r="E35" s="19" t="n"/>
      <c r="F35" s="16">
        <f>IF(D35="","",IF(D35&gt;=3,"시즌형",IF(D35&lt;=1.5,"상시형","중간")))</f>
        <v/>
      </c>
      <c r="G35" s="8">
        <f>IF(OR(B35="",D35="",E35=""),"",IF(AND(B35&gt;=기준표!$B$25,OR(D35&gt;=3,D35&lt;=1.5),E35&gt;=-0.1),"PASS","FAIL"))</f>
        <v/>
      </c>
      <c r="H35" s="10" t="n"/>
    </row>
    <row r="36">
      <c r="A36" s="10" t="n"/>
      <c r="B36" s="17" t="n"/>
      <c r="C36" s="8">
        <f>IF(B36="","",IF(B36&gt;=기준표!$B$25,"PASS","FAIL"))</f>
        <v/>
      </c>
      <c r="D36" s="18" t="n"/>
      <c r="E36" s="19" t="n"/>
      <c r="F36" s="16">
        <f>IF(D36="","",IF(D36&gt;=3,"시즌형",IF(D36&lt;=1.5,"상시형","중간")))</f>
        <v/>
      </c>
      <c r="G36" s="8">
        <f>IF(OR(B36="",D36="",E36=""),"",IF(AND(B36&gt;=기준표!$B$25,OR(D36&gt;=3,D36&lt;=1.5),E36&gt;=-0.1),"PASS","FAIL"))</f>
        <v/>
      </c>
      <c r="H36" s="10" t="n"/>
    </row>
    <row r="37">
      <c r="A37" s="10" t="n"/>
      <c r="B37" s="17" t="n"/>
      <c r="C37" s="8">
        <f>IF(B37="","",IF(B37&gt;=기준표!$B$25,"PASS","FAIL"))</f>
        <v/>
      </c>
      <c r="D37" s="18" t="n"/>
      <c r="E37" s="19" t="n"/>
      <c r="F37" s="16">
        <f>IF(D37="","",IF(D37&gt;=3,"시즌형",IF(D37&lt;=1.5,"상시형","중간")))</f>
        <v/>
      </c>
      <c r="G37" s="8">
        <f>IF(OR(B37="",D37="",E37=""),"",IF(AND(B37&gt;=기준표!$B$25,OR(D37&gt;=3,D37&lt;=1.5),E37&gt;=-0.1),"PASS","FAIL"))</f>
        <v/>
      </c>
      <c r="H37" s="10" t="n"/>
    </row>
    <row r="38">
      <c r="A38" s="10" t="n"/>
      <c r="B38" s="17" t="n"/>
      <c r="C38" s="8">
        <f>IF(B38="","",IF(B38&gt;=기준표!$B$25,"PASS","FAIL"))</f>
        <v/>
      </c>
      <c r="D38" s="18" t="n"/>
      <c r="E38" s="19" t="n"/>
      <c r="F38" s="16">
        <f>IF(D38="","",IF(D38&gt;=3,"시즌형",IF(D38&lt;=1.5,"상시형","중간")))</f>
        <v/>
      </c>
      <c r="G38" s="8">
        <f>IF(OR(B38="",D38="",E38=""),"",IF(AND(B38&gt;=기준표!$B$25,OR(D38&gt;=3,D38&lt;=1.5),E38&gt;=-0.1),"PASS","FAIL"))</f>
        <v/>
      </c>
      <c r="H38" s="10" t="n"/>
    </row>
    <row r="39">
      <c r="A39" s="10" t="n"/>
      <c r="B39" s="17" t="n"/>
      <c r="C39" s="8">
        <f>IF(B39="","",IF(B39&gt;=기준표!$B$25,"PASS","FAIL"))</f>
        <v/>
      </c>
      <c r="D39" s="18" t="n"/>
      <c r="E39" s="19" t="n"/>
      <c r="F39" s="16">
        <f>IF(D39="","",IF(D39&gt;=3,"시즌형",IF(D39&lt;=1.5,"상시형","중간")))</f>
        <v/>
      </c>
      <c r="G39" s="8">
        <f>IF(OR(B39="",D39="",E39=""),"",IF(AND(B39&gt;=기준표!$B$25,OR(D39&gt;=3,D39&lt;=1.5),E39&gt;=-0.1),"PASS","FAIL"))</f>
        <v/>
      </c>
      <c r="H39" s="10" t="n"/>
    </row>
    <row r="40">
      <c r="A40" s="10" t="n"/>
      <c r="B40" s="17" t="n"/>
      <c r="C40" s="8">
        <f>IF(B40="","",IF(B40&gt;=기준표!$B$25,"PASS","FAIL"))</f>
        <v/>
      </c>
      <c r="D40" s="18" t="n"/>
      <c r="E40" s="19" t="n"/>
      <c r="F40" s="16">
        <f>IF(D40="","",IF(D40&gt;=3,"시즌형",IF(D40&lt;=1.5,"상시형","중간")))</f>
        <v/>
      </c>
      <c r="G40" s="8">
        <f>IF(OR(B40="",D40="",E40=""),"",IF(AND(B40&gt;=기준표!$B$25,OR(D40&gt;=3,D40&lt;=1.5),E40&gt;=-0.1),"PASS","FAIL"))</f>
        <v/>
      </c>
      <c r="H40" s="10" t="n"/>
    </row>
    <row r="41">
      <c r="A41" s="10" t="n"/>
      <c r="B41" s="17" t="n"/>
      <c r="C41" s="8">
        <f>IF(B41="","",IF(B41&gt;=기준표!$B$25,"PASS","FAIL"))</f>
        <v/>
      </c>
      <c r="D41" s="18" t="n"/>
      <c r="E41" s="19" t="n"/>
      <c r="F41" s="16">
        <f>IF(D41="","",IF(D41&gt;=3,"시즌형",IF(D41&lt;=1.5,"상시형","중간")))</f>
        <v/>
      </c>
      <c r="G41" s="8">
        <f>IF(OR(B41="",D41="",E41=""),"",IF(AND(B41&gt;=기준표!$B$25,OR(D41&gt;=3,D41&lt;=1.5),E41&gt;=-0.1),"PASS","FAIL"))</f>
        <v/>
      </c>
      <c r="H41" s="10" t="n"/>
    </row>
    <row r="42">
      <c r="A42" s="10" t="n"/>
      <c r="B42" s="17" t="n"/>
      <c r="C42" s="8">
        <f>IF(B42="","",IF(B42&gt;=기준표!$B$25,"PASS","FAIL"))</f>
        <v/>
      </c>
      <c r="D42" s="18" t="n"/>
      <c r="E42" s="19" t="n"/>
      <c r="F42" s="16">
        <f>IF(D42="","",IF(D42&gt;=3,"시즌형",IF(D42&lt;=1.5,"상시형","중간")))</f>
        <v/>
      </c>
      <c r="G42" s="8">
        <f>IF(OR(B42="",D42="",E42=""),"",IF(AND(B42&gt;=기준표!$B$25,OR(D42&gt;=3,D42&lt;=1.5),E42&gt;=-0.1),"PASS","FAIL"))</f>
        <v/>
      </c>
      <c r="H42" s="10" t="n"/>
    </row>
    <row r="43">
      <c r="A43" s="10" t="n"/>
      <c r="B43" s="17" t="n"/>
      <c r="C43" s="8">
        <f>IF(B43="","",IF(B43&gt;=기준표!$B$25,"PASS","FAIL"))</f>
        <v/>
      </c>
      <c r="D43" s="18" t="n"/>
      <c r="E43" s="19" t="n"/>
      <c r="F43" s="16">
        <f>IF(D43="","",IF(D43&gt;=3,"시즌형",IF(D43&lt;=1.5,"상시형","중간")))</f>
        <v/>
      </c>
      <c r="G43" s="8">
        <f>IF(OR(B43="",D43="",E43=""),"",IF(AND(B43&gt;=기준표!$B$25,OR(D43&gt;=3,D43&lt;=1.5),E43&gt;=-0.1),"PASS","FAIL"))</f>
        <v/>
      </c>
      <c r="H43" s="10" t="n"/>
    </row>
    <row r="44">
      <c r="A44" s="10" t="n"/>
      <c r="B44" s="17" t="n"/>
      <c r="C44" s="8">
        <f>IF(B44="","",IF(B44&gt;=기준표!$B$25,"PASS","FAIL"))</f>
        <v/>
      </c>
      <c r="D44" s="18" t="n"/>
      <c r="E44" s="19" t="n"/>
      <c r="F44" s="16">
        <f>IF(D44="","",IF(D44&gt;=3,"시즌형",IF(D44&lt;=1.5,"상시형","중간")))</f>
        <v/>
      </c>
      <c r="G44" s="8">
        <f>IF(OR(B44="",D44="",E44=""),"",IF(AND(B44&gt;=기준표!$B$25,OR(D44&gt;=3,D44&lt;=1.5),E44&gt;=-0.1),"PASS","FAIL"))</f>
        <v/>
      </c>
      <c r="H44" s="10" t="n"/>
    </row>
    <row r="45">
      <c r="A45" s="10" t="n"/>
      <c r="B45" s="17" t="n"/>
      <c r="C45" s="8">
        <f>IF(B45="","",IF(B45&gt;=기준표!$B$25,"PASS","FAIL"))</f>
        <v/>
      </c>
      <c r="D45" s="18" t="n"/>
      <c r="E45" s="19" t="n"/>
      <c r="F45" s="16">
        <f>IF(D45="","",IF(D45&gt;=3,"시즌형",IF(D45&lt;=1.5,"상시형","중간")))</f>
        <v/>
      </c>
      <c r="G45" s="8">
        <f>IF(OR(B45="",D45="",E45=""),"",IF(AND(B45&gt;=기준표!$B$25,OR(D45&gt;=3,D45&lt;=1.5),E45&gt;=-0.1),"PASS","FAIL"))</f>
        <v/>
      </c>
      <c r="H45" s="10" t="n"/>
    </row>
    <row r="48">
      <c r="A48" s="12" t="inlineStr">
        <is>
          <t>판정 기준</t>
        </is>
      </c>
    </row>
    <row r="49">
      <c r="A49" s="2" t="inlineStr">
        <is>
          <t>· 검색량 PASS = 기준표 최소 월간검색량 이상. 검색량은 검색 유입의 물리적 상한임</t>
        </is>
      </c>
    </row>
    <row r="50">
      <c r="A50" s="2" t="inlineStr">
        <is>
          <t>· 유형: 진폭 3배 이상 시즌형 / 1.5배 이하 상시형 / 그 사이는 애매 → 제외 권장</t>
        </is>
      </c>
    </row>
    <row r="51">
      <c r="A51" s="2" t="inlineStr">
        <is>
          <t>· 종합판정 PASS = 검색량 통과 AND (시즌형 또는 상시형) AND YoY -10% 이내</t>
        </is>
      </c>
    </row>
    <row r="52">
      <c r="A52" s="2" t="inlineStr">
        <is>
          <t>· 예외: 토스쇼핑은 홈피드 추천(pCTR×pCVR) 기반이라 검색량 기준이 적용되지 않음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12" customWidth="1" min="4" max="4"/>
    <col width="11" customWidth="1" min="5" max="5"/>
    <col width="12" customWidth="1" min="6" max="6"/>
    <col width="11" customWidth="1" min="7" max="7"/>
    <col width="10" customWidth="1" min="8" max="8"/>
  </cols>
  <sheetData>
    <row r="1">
      <c r="A1" s="1" t="inlineStr">
        <is>
          <t>리뷰 증가 속도 트래커 (실판매 신호)</t>
        </is>
      </c>
    </row>
    <row r="2">
      <c r="A2" s="2" t="inlineStr">
        <is>
          <t>타깃 키워드로 검색해 상위 10개 상품의 리뷰 수를 오늘 기록하고, 14일 뒤 같은 상품을 재측정하세요.</t>
        </is>
      </c>
    </row>
    <row r="3">
      <c r="A3" s="2" t="inlineStr">
        <is>
          <t>리뷰는 실제 구매의 결과물이며, 직접 셀 수 있는 유일한 공개 판매 흔적입니다.</t>
        </is>
      </c>
    </row>
    <row r="4">
      <c r="A4" s="2" t="inlineStr">
        <is>
          <t>키워드 열에는 아래 요약표와 정확히 같은 문자열을 입력하세요 (SUMIF 매칭).</t>
        </is>
      </c>
    </row>
    <row r="6">
      <c r="A6" s="3" t="inlineStr">
        <is>
          <t>키워드</t>
        </is>
      </c>
      <c r="B6" s="3" t="inlineStr">
        <is>
          <t>순위</t>
        </is>
      </c>
      <c r="C6" s="3" t="inlineStr">
        <is>
          <t>상품명</t>
        </is>
      </c>
      <c r="D6" s="3" t="inlineStr">
        <is>
          <t>1차측정일</t>
        </is>
      </c>
      <c r="E6" s="3" t="inlineStr">
        <is>
          <t>1차리뷰수</t>
        </is>
      </c>
      <c r="F6" s="3" t="inlineStr">
        <is>
          <t>2차측정일</t>
        </is>
      </c>
      <c r="G6" s="3" t="inlineStr">
        <is>
          <t>2차리뷰수</t>
        </is>
      </c>
      <c r="H6" s="3" t="inlineStr">
        <is>
          <t>증가분</t>
        </is>
      </c>
    </row>
    <row r="7">
      <c r="A7" s="4" t="inlineStr">
        <is>
          <t>[예시] 차량용청소기</t>
        </is>
      </c>
      <c r="B7" s="20" t="n">
        <v>1</v>
      </c>
      <c r="C7" s="4" t="inlineStr">
        <is>
          <t>OO 무선 차량용 청소기</t>
        </is>
      </c>
      <c r="D7" s="21" t="n"/>
      <c r="E7" s="13" t="n">
        <v>1240</v>
      </c>
      <c r="F7" s="21" t="n"/>
      <c r="G7" s="13" t="n">
        <v>1310</v>
      </c>
      <c r="H7" s="22">
        <f>IF(OR(E7="",G7=""),0,G7-E7)</f>
        <v/>
      </c>
    </row>
    <row r="8">
      <c r="A8" s="4" t="inlineStr">
        <is>
          <t>[예시] 차량용청소기</t>
        </is>
      </c>
      <c r="B8" s="20" t="n">
        <v>2</v>
      </c>
      <c r="C8" s="4" t="inlineStr">
        <is>
          <t>XX 차량용 진공청소기</t>
        </is>
      </c>
      <c r="D8" s="21" t="n"/>
      <c r="E8" s="13" t="n">
        <v>860</v>
      </c>
      <c r="F8" s="21" t="n"/>
      <c r="G8" s="13" t="n">
        <v>905</v>
      </c>
      <c r="H8" s="22">
        <f>IF(OR(E8="",G8=""),0,G8-E8)</f>
        <v/>
      </c>
    </row>
    <row r="9">
      <c r="A9" s="4" t="inlineStr">
        <is>
          <t>[예시] 차량용청소기</t>
        </is>
      </c>
      <c r="B9" s="20" t="n">
        <v>3</v>
      </c>
      <c r="C9" s="4" t="inlineStr">
        <is>
          <t>YY 미니 카클리너</t>
        </is>
      </c>
      <c r="D9" s="21" t="n"/>
      <c r="E9" s="13" t="n">
        <v>412</v>
      </c>
      <c r="F9" s="21" t="n"/>
      <c r="G9" s="13" t="n">
        <v>442</v>
      </c>
      <c r="H9" s="22">
        <f>IF(OR(E9="",G9=""),0,G9-E9)</f>
        <v/>
      </c>
    </row>
    <row r="10">
      <c r="A10" s="10" t="n"/>
      <c r="B10" s="23" t="n"/>
      <c r="C10" s="10" t="n"/>
      <c r="D10" s="21" t="n"/>
      <c r="E10" s="17" t="n"/>
      <c r="F10" s="21" t="n"/>
      <c r="G10" s="17" t="n"/>
      <c r="H10" s="22">
        <f>IF(OR(E10="",G10=""),0,G10-E10)</f>
        <v/>
      </c>
    </row>
    <row r="11">
      <c r="A11" s="10" t="n"/>
      <c r="B11" s="23" t="n"/>
      <c r="C11" s="10" t="n"/>
      <c r="D11" s="21" t="n"/>
      <c r="E11" s="17" t="n"/>
      <c r="F11" s="21" t="n"/>
      <c r="G11" s="17" t="n"/>
      <c r="H11" s="22">
        <f>IF(OR(E11="",G11=""),0,G11-E11)</f>
        <v/>
      </c>
    </row>
    <row r="12">
      <c r="A12" s="10" t="n"/>
      <c r="B12" s="23" t="n"/>
      <c r="C12" s="10" t="n"/>
      <c r="D12" s="21" t="n"/>
      <c r="E12" s="17" t="n"/>
      <c r="F12" s="21" t="n"/>
      <c r="G12" s="17" t="n"/>
      <c r="H12" s="22">
        <f>IF(OR(E12="",G12=""),0,G12-E12)</f>
        <v/>
      </c>
    </row>
    <row r="13">
      <c r="A13" s="10" t="n"/>
      <c r="B13" s="23" t="n"/>
      <c r="C13" s="10" t="n"/>
      <c r="D13" s="21" t="n"/>
      <c r="E13" s="17" t="n"/>
      <c r="F13" s="21" t="n"/>
      <c r="G13" s="17" t="n"/>
      <c r="H13" s="22">
        <f>IF(OR(E13="",G13=""),0,G13-E13)</f>
        <v/>
      </c>
    </row>
    <row r="14">
      <c r="A14" s="10" t="n"/>
      <c r="B14" s="23" t="n"/>
      <c r="C14" s="10" t="n"/>
      <c r="D14" s="21" t="n"/>
      <c r="E14" s="17" t="n"/>
      <c r="F14" s="21" t="n"/>
      <c r="G14" s="17" t="n"/>
      <c r="H14" s="22">
        <f>IF(OR(E14="",G14=""),0,G14-E14)</f>
        <v/>
      </c>
    </row>
    <row r="15">
      <c r="A15" s="10" t="n"/>
      <c r="B15" s="23" t="n"/>
      <c r="C15" s="10" t="n"/>
      <c r="D15" s="21" t="n"/>
      <c r="E15" s="17" t="n"/>
      <c r="F15" s="21" t="n"/>
      <c r="G15" s="17" t="n"/>
      <c r="H15" s="22">
        <f>IF(OR(E15="",G15=""),0,G15-E15)</f>
        <v/>
      </c>
    </row>
    <row r="16">
      <c r="A16" s="10" t="n"/>
      <c r="B16" s="23" t="n"/>
      <c r="C16" s="10" t="n"/>
      <c r="D16" s="21" t="n"/>
      <c r="E16" s="17" t="n"/>
      <c r="F16" s="21" t="n"/>
      <c r="G16" s="17" t="n"/>
      <c r="H16" s="22">
        <f>IF(OR(E16="",G16=""),0,G16-E16)</f>
        <v/>
      </c>
    </row>
    <row r="17">
      <c r="A17" s="10" t="n"/>
      <c r="B17" s="23" t="n"/>
      <c r="C17" s="10" t="n"/>
      <c r="D17" s="21" t="n"/>
      <c r="E17" s="17" t="n"/>
      <c r="F17" s="21" t="n"/>
      <c r="G17" s="17" t="n"/>
      <c r="H17" s="22">
        <f>IF(OR(E17="",G17=""),0,G17-E17)</f>
        <v/>
      </c>
    </row>
    <row r="18">
      <c r="A18" s="10" t="n"/>
      <c r="B18" s="23" t="n"/>
      <c r="C18" s="10" t="n"/>
      <c r="D18" s="21" t="n"/>
      <c r="E18" s="17" t="n"/>
      <c r="F18" s="21" t="n"/>
      <c r="G18" s="17" t="n"/>
      <c r="H18" s="22">
        <f>IF(OR(E18="",G18=""),0,G18-E18)</f>
        <v/>
      </c>
    </row>
    <row r="19">
      <c r="A19" s="10" t="n"/>
      <c r="B19" s="23" t="n"/>
      <c r="C19" s="10" t="n"/>
      <c r="D19" s="21" t="n"/>
      <c r="E19" s="17" t="n"/>
      <c r="F19" s="21" t="n"/>
      <c r="G19" s="17" t="n"/>
      <c r="H19" s="22">
        <f>IF(OR(E19="",G19=""),0,G19-E19)</f>
        <v/>
      </c>
    </row>
    <row r="20">
      <c r="A20" s="10" t="n"/>
      <c r="B20" s="23" t="n"/>
      <c r="C20" s="10" t="n"/>
      <c r="D20" s="21" t="n"/>
      <c r="E20" s="17" t="n"/>
      <c r="F20" s="21" t="n"/>
      <c r="G20" s="17" t="n"/>
      <c r="H20" s="22">
        <f>IF(OR(E20="",G20=""),0,G20-E20)</f>
        <v/>
      </c>
    </row>
    <row r="21">
      <c r="A21" s="10" t="n"/>
      <c r="B21" s="23" t="n"/>
      <c r="C21" s="10" t="n"/>
      <c r="D21" s="21" t="n"/>
      <c r="E21" s="17" t="n"/>
      <c r="F21" s="21" t="n"/>
      <c r="G21" s="17" t="n"/>
      <c r="H21" s="22">
        <f>IF(OR(E21="",G21=""),0,G21-E21)</f>
        <v/>
      </c>
    </row>
    <row r="22">
      <c r="A22" s="10" t="n"/>
      <c r="B22" s="23" t="n"/>
      <c r="C22" s="10" t="n"/>
      <c r="D22" s="21" t="n"/>
      <c r="E22" s="17" t="n"/>
      <c r="F22" s="21" t="n"/>
      <c r="G22" s="17" t="n"/>
      <c r="H22" s="22">
        <f>IF(OR(E22="",G22=""),0,G22-E22)</f>
        <v/>
      </c>
    </row>
    <row r="23">
      <c r="A23" s="10" t="n"/>
      <c r="B23" s="23" t="n"/>
      <c r="C23" s="10" t="n"/>
      <c r="D23" s="21" t="n"/>
      <c r="E23" s="17" t="n"/>
      <c r="F23" s="21" t="n"/>
      <c r="G23" s="17" t="n"/>
      <c r="H23" s="22">
        <f>IF(OR(E23="",G23=""),0,G23-E23)</f>
        <v/>
      </c>
    </row>
    <row r="24">
      <c r="A24" s="10" t="n"/>
      <c r="B24" s="23" t="n"/>
      <c r="C24" s="10" t="n"/>
      <c r="D24" s="21" t="n"/>
      <c r="E24" s="17" t="n"/>
      <c r="F24" s="21" t="n"/>
      <c r="G24" s="17" t="n"/>
      <c r="H24" s="22">
        <f>IF(OR(E24="",G24=""),0,G24-E24)</f>
        <v/>
      </c>
    </row>
    <row r="25">
      <c r="A25" s="10" t="n"/>
      <c r="B25" s="23" t="n"/>
      <c r="C25" s="10" t="n"/>
      <c r="D25" s="21" t="n"/>
      <c r="E25" s="17" t="n"/>
      <c r="F25" s="21" t="n"/>
      <c r="G25" s="17" t="n"/>
      <c r="H25" s="22">
        <f>IF(OR(E25="",G25=""),0,G25-E25)</f>
        <v/>
      </c>
    </row>
    <row r="26">
      <c r="A26" s="10" t="n"/>
      <c r="B26" s="23" t="n"/>
      <c r="C26" s="10" t="n"/>
      <c r="D26" s="21" t="n"/>
      <c r="E26" s="17" t="n"/>
      <c r="F26" s="21" t="n"/>
      <c r="G26" s="17" t="n"/>
      <c r="H26" s="22">
        <f>IF(OR(E26="",G26=""),0,G26-E26)</f>
        <v/>
      </c>
    </row>
    <row r="27">
      <c r="A27" s="10" t="n"/>
      <c r="B27" s="23" t="n"/>
      <c r="C27" s="10" t="n"/>
      <c r="D27" s="21" t="n"/>
      <c r="E27" s="17" t="n"/>
      <c r="F27" s="21" t="n"/>
      <c r="G27" s="17" t="n"/>
      <c r="H27" s="22">
        <f>IF(OR(E27="",G27=""),0,G27-E27)</f>
        <v/>
      </c>
    </row>
    <row r="28">
      <c r="A28" s="10" t="n"/>
      <c r="B28" s="23" t="n"/>
      <c r="C28" s="10" t="n"/>
      <c r="D28" s="21" t="n"/>
      <c r="E28" s="17" t="n"/>
      <c r="F28" s="21" t="n"/>
      <c r="G28" s="17" t="n"/>
      <c r="H28" s="22">
        <f>IF(OR(E28="",G28=""),0,G28-E28)</f>
        <v/>
      </c>
    </row>
    <row r="29">
      <c r="A29" s="10" t="n"/>
      <c r="B29" s="23" t="n"/>
      <c r="C29" s="10" t="n"/>
      <c r="D29" s="21" t="n"/>
      <c r="E29" s="17" t="n"/>
      <c r="F29" s="21" t="n"/>
      <c r="G29" s="17" t="n"/>
      <c r="H29" s="22">
        <f>IF(OR(E29="",G29=""),0,G29-E29)</f>
        <v/>
      </c>
    </row>
    <row r="30">
      <c r="A30" s="10" t="n"/>
      <c r="B30" s="23" t="n"/>
      <c r="C30" s="10" t="n"/>
      <c r="D30" s="21" t="n"/>
      <c r="E30" s="17" t="n"/>
      <c r="F30" s="21" t="n"/>
      <c r="G30" s="17" t="n"/>
      <c r="H30" s="22">
        <f>IF(OR(E30="",G30=""),0,G30-E30)</f>
        <v/>
      </c>
    </row>
    <row r="31">
      <c r="A31" s="10" t="n"/>
      <c r="B31" s="23" t="n"/>
      <c r="C31" s="10" t="n"/>
      <c r="D31" s="21" t="n"/>
      <c r="E31" s="17" t="n"/>
      <c r="F31" s="21" t="n"/>
      <c r="G31" s="17" t="n"/>
      <c r="H31" s="22">
        <f>IF(OR(E31="",G31=""),0,G31-E31)</f>
        <v/>
      </c>
    </row>
    <row r="32">
      <c r="A32" s="10" t="n"/>
      <c r="B32" s="23" t="n"/>
      <c r="C32" s="10" t="n"/>
      <c r="D32" s="21" t="n"/>
      <c r="E32" s="17" t="n"/>
      <c r="F32" s="21" t="n"/>
      <c r="G32" s="17" t="n"/>
      <c r="H32" s="22">
        <f>IF(OR(E32="",G32=""),0,G32-E32)</f>
        <v/>
      </c>
    </row>
    <row r="33">
      <c r="A33" s="10" t="n"/>
      <c r="B33" s="23" t="n"/>
      <c r="C33" s="10" t="n"/>
      <c r="D33" s="21" t="n"/>
      <c r="E33" s="17" t="n"/>
      <c r="F33" s="21" t="n"/>
      <c r="G33" s="17" t="n"/>
      <c r="H33" s="22">
        <f>IF(OR(E33="",G33=""),0,G33-E33)</f>
        <v/>
      </c>
    </row>
    <row r="34">
      <c r="A34" s="10" t="n"/>
      <c r="B34" s="23" t="n"/>
      <c r="C34" s="10" t="n"/>
      <c r="D34" s="21" t="n"/>
      <c r="E34" s="17" t="n"/>
      <c r="F34" s="21" t="n"/>
      <c r="G34" s="17" t="n"/>
      <c r="H34" s="22">
        <f>IF(OR(E34="",G34=""),0,G34-E34)</f>
        <v/>
      </c>
    </row>
    <row r="35">
      <c r="A35" s="10" t="n"/>
      <c r="B35" s="23" t="n"/>
      <c r="C35" s="10" t="n"/>
      <c r="D35" s="21" t="n"/>
      <c r="E35" s="17" t="n"/>
      <c r="F35" s="21" t="n"/>
      <c r="G35" s="17" t="n"/>
      <c r="H35" s="22">
        <f>IF(OR(E35="",G35=""),0,G35-E35)</f>
        <v/>
      </c>
    </row>
    <row r="36">
      <c r="A36" s="10" t="n"/>
      <c r="B36" s="23" t="n"/>
      <c r="C36" s="10" t="n"/>
      <c r="D36" s="21" t="n"/>
      <c r="E36" s="17" t="n"/>
      <c r="F36" s="21" t="n"/>
      <c r="G36" s="17" t="n"/>
      <c r="H36" s="22">
        <f>IF(OR(E36="",G36=""),0,G36-E36)</f>
        <v/>
      </c>
    </row>
    <row r="37">
      <c r="A37" s="10" t="n"/>
      <c r="B37" s="23" t="n"/>
      <c r="C37" s="10" t="n"/>
      <c r="D37" s="21" t="n"/>
      <c r="E37" s="17" t="n"/>
      <c r="F37" s="21" t="n"/>
      <c r="G37" s="17" t="n"/>
      <c r="H37" s="22">
        <f>IF(OR(E37="",G37=""),0,G37-E37)</f>
        <v/>
      </c>
    </row>
    <row r="38">
      <c r="A38" s="10" t="n"/>
      <c r="B38" s="23" t="n"/>
      <c r="C38" s="10" t="n"/>
      <c r="D38" s="21" t="n"/>
      <c r="E38" s="17" t="n"/>
      <c r="F38" s="21" t="n"/>
      <c r="G38" s="17" t="n"/>
      <c r="H38" s="22">
        <f>IF(OR(E38="",G38=""),0,G38-E38)</f>
        <v/>
      </c>
    </row>
    <row r="39">
      <c r="A39" s="10" t="n"/>
      <c r="B39" s="23" t="n"/>
      <c r="C39" s="10" t="n"/>
      <c r="D39" s="21" t="n"/>
      <c r="E39" s="17" t="n"/>
      <c r="F39" s="21" t="n"/>
      <c r="G39" s="17" t="n"/>
      <c r="H39" s="22">
        <f>IF(OR(E39="",G39=""),0,G39-E39)</f>
        <v/>
      </c>
    </row>
    <row r="40">
      <c r="A40" s="10" t="n"/>
      <c r="B40" s="23" t="n"/>
      <c r="C40" s="10" t="n"/>
      <c r="D40" s="21" t="n"/>
      <c r="E40" s="17" t="n"/>
      <c r="F40" s="21" t="n"/>
      <c r="G40" s="17" t="n"/>
      <c r="H40" s="22">
        <f>IF(OR(E40="",G40=""),0,G40-E40)</f>
        <v/>
      </c>
    </row>
    <row r="41">
      <c r="A41" s="10" t="n"/>
      <c r="B41" s="23" t="n"/>
      <c r="C41" s="10" t="n"/>
      <c r="D41" s="21" t="n"/>
      <c r="E41" s="17" t="n"/>
      <c r="F41" s="21" t="n"/>
      <c r="G41" s="17" t="n"/>
      <c r="H41" s="22">
        <f>IF(OR(E41="",G41=""),0,G41-E41)</f>
        <v/>
      </c>
    </row>
    <row r="42">
      <c r="A42" s="10" t="n"/>
      <c r="B42" s="23" t="n"/>
      <c r="C42" s="10" t="n"/>
      <c r="D42" s="21" t="n"/>
      <c r="E42" s="17" t="n"/>
      <c r="F42" s="21" t="n"/>
      <c r="G42" s="17" t="n"/>
      <c r="H42" s="22">
        <f>IF(OR(E42="",G42=""),0,G42-E42)</f>
        <v/>
      </c>
    </row>
    <row r="43">
      <c r="A43" s="10" t="n"/>
      <c r="B43" s="23" t="n"/>
      <c r="C43" s="10" t="n"/>
      <c r="D43" s="21" t="n"/>
      <c r="E43" s="17" t="n"/>
      <c r="F43" s="21" t="n"/>
      <c r="G43" s="17" t="n"/>
      <c r="H43" s="22">
        <f>IF(OR(E43="",G43=""),0,G43-E43)</f>
        <v/>
      </c>
    </row>
    <row r="44">
      <c r="A44" s="10" t="n"/>
      <c r="B44" s="23" t="n"/>
      <c r="C44" s="10" t="n"/>
      <c r="D44" s="21" t="n"/>
      <c r="E44" s="17" t="n"/>
      <c r="F44" s="21" t="n"/>
      <c r="G44" s="17" t="n"/>
      <c r="H44" s="22">
        <f>IF(OR(E44="",G44=""),0,G44-E44)</f>
        <v/>
      </c>
    </row>
    <row r="45">
      <c r="A45" s="10" t="n"/>
      <c r="B45" s="23" t="n"/>
      <c r="C45" s="10" t="n"/>
      <c r="D45" s="21" t="n"/>
      <c r="E45" s="17" t="n"/>
      <c r="F45" s="21" t="n"/>
      <c r="G45" s="17" t="n"/>
      <c r="H45" s="22">
        <f>IF(OR(E45="",G45=""),0,G45-E45)</f>
        <v/>
      </c>
    </row>
    <row r="46">
      <c r="A46" s="10" t="n"/>
      <c r="B46" s="23" t="n"/>
      <c r="C46" s="10" t="n"/>
      <c r="D46" s="21" t="n"/>
      <c r="E46" s="17" t="n"/>
      <c r="F46" s="21" t="n"/>
      <c r="G46" s="17" t="n"/>
      <c r="H46" s="22">
        <f>IF(OR(E46="",G46=""),0,G46-E46)</f>
        <v/>
      </c>
    </row>
    <row r="49">
      <c r="A49" s="12" t="inlineStr">
        <is>
          <t>키워드별 요약</t>
        </is>
      </c>
    </row>
    <row r="50">
      <c r="A50" s="3" t="inlineStr">
        <is>
          <t>키워드</t>
        </is>
      </c>
      <c r="B50" s="3" t="inlineStr">
        <is>
          <t>총 증가분</t>
        </is>
      </c>
      <c r="C50" s="3" t="inlineStr">
        <is>
          <t>최대 증가분</t>
        </is>
      </c>
      <c r="D50" s="3" t="inlineStr">
        <is>
          <t>1위 집중도</t>
        </is>
      </c>
      <c r="E50" s="3" t="inlineStr">
        <is>
          <t>판정</t>
        </is>
      </c>
      <c r="F50" s="3" t="inlineStr">
        <is>
          <t>해석</t>
        </is>
      </c>
    </row>
    <row r="51">
      <c r="A51" s="4" t="inlineStr">
        <is>
          <t>[예시] 차량용청소기</t>
        </is>
      </c>
      <c r="B51" s="24">
        <f>IF(A51="","",SUMIF($A$7:$A$46,A51,$H$7:$H$46))</f>
        <v/>
      </c>
      <c r="C51" s="24">
        <f>IF(A51="","",SUMPRODUCT(MAX(($A$7:$A$46=A51)*($H$7:$H$46))))</f>
        <v/>
      </c>
      <c r="D51" s="6">
        <f>IF(OR(B51="",B51=0),"",C51/B51)</f>
        <v/>
      </c>
      <c r="E51" s="8">
        <f>IF(A51="","",IF(AND(B51&gt;=기준표!$B$26,D51&lt;기준표!$B$27),"PASS","FAIL"))</f>
        <v/>
      </c>
      <c r="F51" s="25">
        <f>IF(A51="","",IF(B51&lt;기준표!$B$26,"시장 너무 작음",IF(D51&gt;=기준표!$B$27,"승자독식 — 진입 불리","분산 시장 — 진입 가능")))</f>
        <v/>
      </c>
    </row>
    <row r="52">
      <c r="A52" s="10" t="n"/>
      <c r="B52" s="24">
        <f>IF(A52="","",SUMIF($A$7:$A$46,A52,$H$7:$H$46))</f>
        <v/>
      </c>
      <c r="C52" s="24">
        <f>IF(A52="","",SUMPRODUCT(MAX(($A$7:$A$46=A52)*($H$7:$H$46))))</f>
        <v/>
      </c>
      <c r="D52" s="6">
        <f>IF(OR(B52="",B52=0),"",C52/B52)</f>
        <v/>
      </c>
      <c r="E52" s="8">
        <f>IF(A52="","",IF(AND(B52&gt;=기준표!$B$26,D52&lt;기준표!$B$27),"PASS","FAIL"))</f>
        <v/>
      </c>
      <c r="F52" s="25">
        <f>IF(A52="","",IF(B52&lt;기준표!$B$26,"시장 너무 작음",IF(D52&gt;=기준표!$B$27,"승자독식 — 진입 불리","분산 시장 — 진입 가능")))</f>
        <v/>
      </c>
    </row>
    <row r="53">
      <c r="A53" s="10" t="n"/>
      <c r="B53" s="24">
        <f>IF(A53="","",SUMIF($A$7:$A$46,A53,$H$7:$H$46))</f>
        <v/>
      </c>
      <c r="C53" s="24">
        <f>IF(A53="","",SUMPRODUCT(MAX(($A$7:$A$46=A53)*($H$7:$H$46))))</f>
        <v/>
      </c>
      <c r="D53" s="6">
        <f>IF(OR(B53="",B53=0),"",C53/B53)</f>
        <v/>
      </c>
      <c r="E53" s="8">
        <f>IF(A53="","",IF(AND(B53&gt;=기준표!$B$26,D53&lt;기준표!$B$27),"PASS","FAIL"))</f>
        <v/>
      </c>
      <c r="F53" s="25">
        <f>IF(A53="","",IF(B53&lt;기준표!$B$26,"시장 너무 작음",IF(D53&gt;=기준표!$B$27,"승자독식 — 진입 불리","분산 시장 — 진입 가능")))</f>
        <v/>
      </c>
    </row>
    <row r="54">
      <c r="A54" s="10" t="n"/>
      <c r="B54" s="24">
        <f>IF(A54="","",SUMIF($A$7:$A$46,A54,$H$7:$H$46))</f>
        <v/>
      </c>
      <c r="C54" s="24">
        <f>IF(A54="","",SUMPRODUCT(MAX(($A$7:$A$46=A54)*($H$7:$H$46))))</f>
        <v/>
      </c>
      <c r="D54" s="6">
        <f>IF(OR(B54="",B54=0),"",C54/B54)</f>
        <v/>
      </c>
      <c r="E54" s="8">
        <f>IF(A54="","",IF(AND(B54&gt;=기준표!$B$26,D54&lt;기준표!$B$27),"PASS","FAIL"))</f>
        <v/>
      </c>
      <c r="F54" s="25">
        <f>IF(A54="","",IF(B54&lt;기준표!$B$26,"시장 너무 작음",IF(D54&gt;=기준표!$B$27,"승자독식 — 진입 불리","분산 시장 — 진입 가능")))</f>
        <v/>
      </c>
    </row>
    <row r="55">
      <c r="A55" s="10" t="n"/>
      <c r="B55" s="24">
        <f>IF(A55="","",SUMIF($A$7:$A$46,A55,$H$7:$H$46))</f>
        <v/>
      </c>
      <c r="C55" s="24">
        <f>IF(A55="","",SUMPRODUCT(MAX(($A$7:$A$46=A55)*($H$7:$H$46))))</f>
        <v/>
      </c>
      <c r="D55" s="6">
        <f>IF(OR(B55="",B55=0),"",C55/B55)</f>
        <v/>
      </c>
      <c r="E55" s="8">
        <f>IF(A55="","",IF(AND(B55&gt;=기준표!$B$26,D55&lt;기준표!$B$27),"PASS","FAIL"))</f>
        <v/>
      </c>
      <c r="F55" s="25">
        <f>IF(A55="","",IF(B55&lt;기준표!$B$26,"시장 너무 작음",IF(D55&gt;=기준표!$B$27,"승자독식 — 진입 불리","분산 시장 — 진입 가능")))</f>
        <v/>
      </c>
    </row>
    <row r="56">
      <c r="A56" s="10" t="n"/>
      <c r="B56" s="24">
        <f>IF(A56="","",SUMIF($A$7:$A$46,A56,$H$7:$H$46))</f>
        <v/>
      </c>
      <c r="C56" s="24">
        <f>IF(A56="","",SUMPRODUCT(MAX(($A$7:$A$46=A56)*($H$7:$H$46))))</f>
        <v/>
      </c>
      <c r="D56" s="6">
        <f>IF(OR(B56="",B56=0),"",C56/B56)</f>
        <v/>
      </c>
      <c r="E56" s="8">
        <f>IF(A56="","",IF(AND(B56&gt;=기준표!$B$26,D56&lt;기준표!$B$27),"PASS","FAIL"))</f>
        <v/>
      </c>
      <c r="F56" s="25">
        <f>IF(A56="","",IF(B56&lt;기준표!$B$26,"시장 너무 작음",IF(D56&gt;=기준표!$B$27,"승자독식 — 진입 불리","분산 시장 — 진입 가능")))</f>
        <v/>
      </c>
    </row>
    <row r="57">
      <c r="A57" s="10" t="n"/>
      <c r="B57" s="24">
        <f>IF(A57="","",SUMIF($A$7:$A$46,A57,$H$7:$H$46))</f>
        <v/>
      </c>
      <c r="C57" s="24">
        <f>IF(A57="","",SUMPRODUCT(MAX(($A$7:$A$46=A57)*($H$7:$H$46))))</f>
        <v/>
      </c>
      <c r="D57" s="6">
        <f>IF(OR(B57="",B57=0),"",C57/B57)</f>
        <v/>
      </c>
      <c r="E57" s="8">
        <f>IF(A57="","",IF(AND(B57&gt;=기준표!$B$26,D57&lt;기준표!$B$27),"PASS","FAIL"))</f>
        <v/>
      </c>
      <c r="F57" s="25">
        <f>IF(A57="","",IF(B57&lt;기준표!$B$26,"시장 너무 작음",IF(D57&gt;=기준표!$B$27,"승자독식 — 진입 불리","분산 시장 — 진입 가능")))</f>
        <v/>
      </c>
    </row>
    <row r="58">
      <c r="A58" s="10" t="n"/>
      <c r="B58" s="24">
        <f>IF(A58="","",SUMIF($A$7:$A$46,A58,$H$7:$H$46))</f>
        <v/>
      </c>
      <c r="C58" s="24">
        <f>IF(A58="","",SUMPRODUCT(MAX(($A$7:$A$46=A58)*($H$7:$H$46))))</f>
        <v/>
      </c>
      <c r="D58" s="6">
        <f>IF(OR(B58="",B58=0),"",C58/B58)</f>
        <v/>
      </c>
      <c r="E58" s="8">
        <f>IF(A58="","",IF(AND(B58&gt;=기준표!$B$26,D58&lt;기준표!$B$27),"PASS","FAIL"))</f>
        <v/>
      </c>
      <c r="F58" s="25">
        <f>IF(A58="","",IF(B58&lt;기준표!$B$26,"시장 너무 작음",IF(D58&gt;=기준표!$B$27,"승자독식 — 진입 불리","분산 시장 — 진입 가능")))</f>
        <v/>
      </c>
    </row>
    <row r="61">
      <c r="A61" s="12" t="inlineStr">
        <is>
          <t>읽는 법</t>
        </is>
      </c>
    </row>
    <row r="62">
      <c r="A62" s="2" t="inlineStr">
        <is>
          <t>· 총 증가분 = 14일간 상위 10개 리뷰 증가 합계. 기준표 임계값 미만이면 죽은 시장</t>
        </is>
      </c>
    </row>
    <row r="63">
      <c r="A63" s="2" t="inlineStr">
        <is>
          <t>· 1위 집중도 = 최대 증가분 ÷ 총 증가분. 높을수록 한 셀러가 독식 중</t>
        </is>
      </c>
    </row>
    <row r="64">
      <c r="A64" s="2" t="inlineStr">
        <is>
          <t>· 절대 판매량은 알 수 없음 (리뷰 작성률 미공개). 상대 비교와 추세 판단에만 사용할 것</t>
        </is>
      </c>
    </row>
    <row r="65">
      <c r="A65" s="2" t="inlineStr">
        <is>
          <t>· 내 상품 등록 후 같은 방식으로 내 리뷰 증가 속도를 재면 점유율을 추정할 수 있음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6" customWidth="1" min="3" max="3"/>
  </cols>
  <sheetData>
    <row r="1">
      <c r="A1" s="1" t="inlineStr">
        <is>
          <t>기준표 — 채널별 수수료율 및 게이트 임계값</t>
        </is>
      </c>
    </row>
    <row r="2">
      <c r="A2" s="2" t="inlineStr">
        <is>
          <t>노란 셀은 정책·목표가 바뀌면 수정하세요. 다른 모든 시트가 이 값을 참조합니다.</t>
        </is>
      </c>
    </row>
    <row r="4">
      <c r="A4" s="12" t="inlineStr">
        <is>
          <t>채널별 판매수수료율</t>
        </is>
      </c>
    </row>
    <row r="5">
      <c r="A5" s="26" t="inlineStr">
        <is>
          <t>채널</t>
        </is>
      </c>
      <c r="B5" s="26" t="inlineStr">
        <is>
          <t>수수료율</t>
        </is>
      </c>
      <c r="C5" s="26" t="inlineStr">
        <is>
          <t>비고</t>
        </is>
      </c>
    </row>
    <row r="6">
      <c r="A6" s="25" t="inlineStr">
        <is>
          <t>네이버 스마트스토어 (일반유입)</t>
        </is>
      </c>
      <c r="B6" s="27" t="n">
        <v>0.06633</v>
      </c>
      <c r="C6" s="28" t="inlineStr">
        <is>
          <t>판매 3.003% + 주문관리 3.63%. 2025-06 개편 기준</t>
        </is>
      </c>
    </row>
    <row r="7">
      <c r="A7" s="25" t="inlineStr">
        <is>
          <t>네이버 (마케팅링크 유입)</t>
        </is>
      </c>
      <c r="B7" s="27" t="n">
        <v>0.04631</v>
      </c>
      <c r="C7" s="28" t="inlineStr">
        <is>
          <t>판매 1.001% + 주문관리 3.63%</t>
        </is>
      </c>
    </row>
    <row r="8">
      <c r="A8" s="25" t="inlineStr">
        <is>
          <t>네이버 (스타트 제로수수료 초기)</t>
        </is>
      </c>
      <c r="B8" s="27" t="n">
        <v>0</v>
      </c>
      <c r="C8" s="28" t="inlineStr">
        <is>
          <t>주문관리 12개월 / 매출연동 6개월 면제 [면제항목 매핑 미검증]</t>
        </is>
      </c>
    </row>
    <row r="9">
      <c r="A9" s="25" t="inlineStr">
        <is>
          <t>토스쇼핑 (일반)</t>
        </is>
      </c>
      <c r="B9" s="27" t="n">
        <v>0.08</v>
      </c>
      <c r="C9" s="28" t="inlineStr">
        <is>
          <t>저수수료 정책 8% 수준</t>
        </is>
      </c>
    </row>
    <row r="10">
      <c r="A10" s="25" t="inlineStr">
        <is>
          <t>토스쇼핑 (광고 경유)</t>
        </is>
      </c>
      <c r="B10" s="27" t="n">
        <v>0</v>
      </c>
      <c r="C10" s="28" t="inlineStr">
        <is>
          <t>광고 클릭 후 7일 내 구매는 판매수수료 0%</t>
        </is>
      </c>
    </row>
    <row r="11">
      <c r="A11" s="25" t="inlineStr">
        <is>
          <t>쿠팡 (생활용품·가전디지털)</t>
        </is>
      </c>
      <c r="B11" s="27" t="n">
        <v>0.078</v>
      </c>
      <c r="C11" s="28" t="inlineStr">
        <is>
          <t>카테고리별 4~10.9% 중</t>
        </is>
      </c>
    </row>
    <row r="12">
      <c r="A12" s="25" t="inlineStr">
        <is>
          <t>쿠팡 (주방·가구·반려·스포츠)</t>
        </is>
      </c>
      <c r="B12" s="27" t="n">
        <v>0.108</v>
      </c>
      <c r="C12" s="28" t="inlineStr"/>
    </row>
    <row r="13">
      <c r="A13" s="25" t="inlineStr">
        <is>
          <t>11번가 (상한)</t>
        </is>
      </c>
      <c r="B13" s="27" t="n">
        <v>0.13</v>
      </c>
      <c r="C13" s="28" t="inlineStr">
        <is>
          <t>7~13% + 서버이용료 월 77,000원(전월 500만↑)</t>
        </is>
      </c>
    </row>
    <row r="14">
      <c r="A14" s="25" t="inlineStr">
        <is>
          <t>카카오 톡스토어</t>
        </is>
      </c>
      <c r="B14" s="27" t="n">
        <v>0</v>
      </c>
      <c r="C14" s="28" t="inlineStr">
        <is>
          <t>판매수수료 무료. 단 노출 채널별 추가 수수료 가능 [미검증]</t>
        </is>
      </c>
    </row>
    <row r="15">
      <c r="A15" s="25" t="inlineStr">
        <is>
          <t>오늘의집</t>
        </is>
      </c>
      <c r="B15" s="27" t="n"/>
      <c r="C15" s="28" t="inlineStr">
        <is>
          <t>카테고리별. 파트너센터 로그인 후 직접 입력 [미확인]</t>
        </is>
      </c>
    </row>
    <row r="16">
      <c r="A16" s="25" t="inlineStr">
        <is>
          <t>올웨이즈</t>
        </is>
      </c>
      <c r="B16" s="27" t="n">
        <v>0.015</v>
      </c>
      <c r="C16" s="28" t="inlineStr">
        <is>
          <t>+ 월 서버이용료 49,000원(월매출 100만↑)</t>
        </is>
      </c>
    </row>
    <row r="17">
      <c r="A17" s="25" t="inlineStr">
        <is>
          <t>알리 K-venue</t>
        </is>
      </c>
      <c r="B17" s="27" t="n">
        <v>0.08</v>
      </c>
      <c r="C17" s="28" t="inlineStr">
        <is>
          <t>신규 입점 90일 면제</t>
        </is>
      </c>
    </row>
    <row r="20">
      <c r="A20" s="12" t="inlineStr">
        <is>
          <t>게이트 임계값</t>
        </is>
      </c>
    </row>
    <row r="21">
      <c r="A21" s="26" t="inlineStr">
        <is>
          <t>항목</t>
        </is>
      </c>
      <c r="B21" s="26" t="inlineStr">
        <is>
          <t>값</t>
        </is>
      </c>
      <c r="C21" s="26" t="inlineStr">
        <is>
          <t>근거</t>
        </is>
      </c>
    </row>
    <row r="22">
      <c r="A22" s="25" t="inlineStr">
        <is>
          <t>게이트1 최소 기여이익</t>
        </is>
      </c>
      <c r="B22" s="29" t="n">
        <v>18000</v>
      </c>
      <c r="C22" s="28" t="inlineStr">
        <is>
          <t>목표(건당 순익 1만원) 역산. 일반 기준은 8,000원</t>
        </is>
      </c>
    </row>
    <row r="23">
      <c r="A23" s="25" t="inlineStr">
        <is>
          <t>목표 건당 순이익</t>
        </is>
      </c>
      <c r="B23" s="29" t="n">
        <v>10000</v>
      </c>
      <c r="C23" s="28" t="inlineStr">
        <is>
          <t>사용자 설정 목표</t>
        </is>
      </c>
    </row>
    <row r="24">
      <c r="A24" s="25" t="inlineStr">
        <is>
          <t>기준 CPC</t>
        </is>
      </c>
      <c r="B24" s="29" t="n">
        <v>250</v>
      </c>
      <c r="C24" s="28" t="inlineStr">
        <is>
          <t>쿠팡 통상 200~300원대. 토스 최소입찰 200원</t>
        </is>
      </c>
    </row>
    <row r="25">
      <c r="A25" s="25" t="inlineStr">
        <is>
          <t>최소 월간 검색량</t>
        </is>
      </c>
      <c r="B25" s="30" t="n">
        <v>15000</v>
      </c>
      <c r="C25" s="28" t="inlineStr">
        <is>
          <t>월 100건 목표 ÷ 전환율 3% ÷ CTR 20% [CTR 미검증]</t>
        </is>
      </c>
    </row>
    <row r="26">
      <c r="A26" s="25" t="inlineStr">
        <is>
          <t>리뷰 14일 최소 증가</t>
        </is>
      </c>
      <c r="B26" s="30" t="n">
        <v>20</v>
      </c>
      <c r="C26" s="28" t="inlineStr">
        <is>
          <t>죽은 시장 배제선 [미검증 휴리스틱]</t>
        </is>
      </c>
    </row>
    <row r="27">
      <c r="A27" s="25" t="inlineStr">
        <is>
          <t>1위 집중도 상한</t>
        </is>
      </c>
      <c r="B27" s="31" t="n">
        <v>0.7</v>
      </c>
      <c r="C27" s="28" t="inlineStr">
        <is>
          <t>초과 시 승자독식 [미검증 휴리스틱]</t>
        </is>
      </c>
    </row>
    <row r="28">
      <c r="A28" s="25" t="inlineStr">
        <is>
          <t>최저가 갭 상한</t>
        </is>
      </c>
      <c r="B28" s="31" t="n">
        <v>0.15</v>
      </c>
      <c r="C28" s="28" t="inlineStr">
        <is>
          <t>초과 시 최저가 경쟁 진행 중 [미검증 휴리스틱]</t>
        </is>
      </c>
    </row>
    <row r="29">
      <c r="A29" s="25" t="inlineStr">
        <is>
          <t>반품률 경고선</t>
        </is>
      </c>
      <c r="B29" s="31" t="n">
        <v>0.15</v>
      </c>
      <c r="C29" s="28" t="inlineStr">
        <is>
          <t>20% 초과 시 손절</t>
        </is>
      </c>
    </row>
    <row r="30">
      <c r="A30" s="25" t="inlineStr">
        <is>
          <t>주간 취소율 상한</t>
        </is>
      </c>
      <c r="B30" s="31" t="n">
        <v>0.02</v>
      </c>
      <c r="C30" s="28" t="inlineStr">
        <is>
          <t>초과 시 해당 도매사 노출 중단</t>
        </is>
      </c>
    </row>
    <row r="32">
      <c r="A32" s="2" t="inlineStr">
        <is>
          <t>출처: 본 저장소 docs/consignment-platform-strategy.md (2026-09 기준). [미검증] 표기 항목은 1차 출처 확인 실패.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2026-09-09T01:47:54Z</dcterms:created>
  <dcterms:modified xsi:type="dcterms:W3CDTF">2026-09-09T01:47:54Z</dcterms:modified>
</cp:coreProperties>
</file>